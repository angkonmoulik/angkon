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B52E28D-3EF6-42E5-B86F-2EB76F3618AB}" xr6:coauthVersionLast="47" xr6:coauthVersionMax="47" xr10:uidLastSave="{00000000-0000-0000-0000-000000000000}"/>
  <bookViews>
    <workbookView xWindow="-108" yWindow="-108" windowWidth="23256" windowHeight="12456" xr2:uid="{B50A3BBD-85C5-4E43-AD64-2EC9A298B796}"/>
  </bookViews>
  <sheets>
    <sheet name="problem-02" sheetId="1" r:id="rId1"/>
    <sheet name="problem-03" sheetId="2" r:id="rId2"/>
    <sheet name="probem-04" sheetId="3" r:id="rId3"/>
    <sheet name="probem-05" sheetId="4" r:id="rId4"/>
    <sheet name="probem-06" sheetId="5" r:id="rId5"/>
    <sheet name="probem-07" sheetId="6" r:id="rId6"/>
    <sheet name="probem-08" sheetId="7" r:id="rId7"/>
    <sheet name="probem-09" sheetId="8" r:id="rId8"/>
    <sheet name="probem-10" sheetId="9" r:id="rId9"/>
    <sheet name="probem-11" sheetId="10" r:id="rId10"/>
    <sheet name="probem-12" sheetId="11" r:id="rId11"/>
  </sheets>
  <externalReferences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4" i="3"/>
  <c r="Q5" i="9" l="1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4" i="9"/>
  <c r="N5" i="9"/>
  <c r="M6" i="9"/>
  <c r="N6" i="9" s="1"/>
  <c r="M7" i="9" s="1"/>
  <c r="M5" i="9"/>
  <c r="N4" i="9"/>
  <c r="F4" i="9"/>
  <c r="G17" i="8"/>
  <c r="G16" i="8"/>
  <c r="G15" i="8"/>
  <c r="G17" i="6"/>
  <c r="G16" i="6"/>
  <c r="I7" i="5"/>
  <c r="J25" i="5"/>
  <c r="J24" i="5"/>
  <c r="J23" i="5"/>
  <c r="J7" i="5"/>
  <c r="R12" i="2"/>
  <c r="R11" i="2"/>
  <c r="R10" i="2"/>
  <c r="R9" i="2"/>
  <c r="R8" i="2"/>
  <c r="R7" i="2"/>
  <c r="R6" i="2"/>
  <c r="R5" i="2"/>
  <c r="R4" i="2"/>
  <c r="R3" i="2"/>
  <c r="L3" i="2"/>
  <c r="K4" i="2"/>
  <c r="K3" i="2"/>
  <c r="D12" i="11"/>
  <c r="F11" i="11"/>
  <c r="F12" i="11" s="1"/>
  <c r="E11" i="11"/>
  <c r="E12" i="11" s="1"/>
  <c r="D11" i="11"/>
  <c r="C11" i="11"/>
  <c r="C12" i="11" s="1"/>
  <c r="K10" i="11"/>
  <c r="H10" i="11"/>
  <c r="I10" i="11" s="1"/>
  <c r="G10" i="11"/>
  <c r="G9" i="11"/>
  <c r="K9" i="11" s="1"/>
  <c r="G8" i="11"/>
  <c r="K8" i="11" s="1"/>
  <c r="G7" i="11"/>
  <c r="K7" i="11" s="1"/>
  <c r="E20" i="10"/>
  <c r="C20" i="10"/>
  <c r="F19" i="10"/>
  <c r="G19" i="10" s="1"/>
  <c r="F18" i="10"/>
  <c r="G18" i="10" s="1"/>
  <c r="G17" i="10"/>
  <c r="F17" i="10"/>
  <c r="F16" i="10"/>
  <c r="G16" i="10" s="1"/>
  <c r="F15" i="10"/>
  <c r="G15" i="10" s="1"/>
  <c r="F14" i="10"/>
  <c r="G14" i="10" s="1"/>
  <c r="G13" i="10"/>
  <c r="F13" i="10"/>
  <c r="F12" i="10"/>
  <c r="G12" i="10" s="1"/>
  <c r="F11" i="10"/>
  <c r="G11" i="10" s="1"/>
  <c r="F10" i="10"/>
  <c r="G10" i="10" s="1"/>
  <c r="G9" i="10"/>
  <c r="F9" i="10"/>
  <c r="F8" i="10"/>
  <c r="G8" i="10" s="1"/>
  <c r="F7" i="10"/>
  <c r="G7" i="10" s="1"/>
  <c r="F6" i="10"/>
  <c r="G6" i="10" s="1"/>
  <c r="G5" i="10"/>
  <c r="F5" i="10"/>
  <c r="F4" i="10"/>
  <c r="G4" i="10" s="1"/>
  <c r="F3" i="10"/>
  <c r="F20" i="10" s="1"/>
  <c r="N7" i="9" l="1"/>
  <c r="M8" i="9"/>
  <c r="M10" i="11"/>
  <c r="L10" i="11"/>
  <c r="N10" i="11" s="1"/>
  <c r="G12" i="11"/>
  <c r="H9" i="11"/>
  <c r="I9" i="11" s="1"/>
  <c r="H8" i="11"/>
  <c r="I8" i="11" s="1"/>
  <c r="G11" i="11"/>
  <c r="H7" i="11"/>
  <c r="G3" i="10"/>
  <c r="G20" i="10" s="1"/>
  <c r="G4" i="9"/>
  <c r="N8" i="9" l="1"/>
  <c r="M9" i="9"/>
  <c r="I7" i="11"/>
  <c r="H11" i="11"/>
  <c r="M9" i="11"/>
  <c r="L9" i="11"/>
  <c r="N9" i="11" s="1"/>
  <c r="M8" i="11"/>
  <c r="L8" i="11"/>
  <c r="N8" i="11" s="1"/>
  <c r="E5" i="9"/>
  <c r="N9" i="9" l="1"/>
  <c r="M10" i="9"/>
  <c r="M7" i="11"/>
  <c r="L7" i="11"/>
  <c r="N7" i="11" s="1"/>
  <c r="E6" i="9"/>
  <c r="F5" i="9"/>
  <c r="G5" i="9" s="1"/>
  <c r="N10" i="9" l="1"/>
  <c r="M11" i="9" s="1"/>
  <c r="F6" i="9"/>
  <c r="G6" i="9"/>
  <c r="E7" i="9"/>
  <c r="N11" i="9" l="1"/>
  <c r="M12" i="9" s="1"/>
  <c r="F7" i="9"/>
  <c r="E8" i="9" s="1"/>
  <c r="N12" i="9" l="1"/>
  <c r="M13" i="9" s="1"/>
  <c r="G7" i="9"/>
  <c r="F8" i="9"/>
  <c r="E9" i="9" s="1"/>
  <c r="N13" i="9" l="1"/>
  <c r="M14" i="9" s="1"/>
  <c r="F9" i="9"/>
  <c r="G9" i="9" s="1"/>
  <c r="G8" i="9"/>
  <c r="M15" i="9" l="1"/>
  <c r="N14" i="9"/>
  <c r="E10" i="9"/>
  <c r="F10" i="9"/>
  <c r="E11" i="9" s="1"/>
  <c r="M16" i="9" l="1"/>
  <c r="N15" i="9"/>
  <c r="F11" i="9"/>
  <c r="E12" i="9" s="1"/>
  <c r="G11" i="9"/>
  <c r="G10" i="9"/>
  <c r="N16" i="9" l="1"/>
  <c r="M17" i="9" s="1"/>
  <c r="F12" i="9"/>
  <c r="G12" i="9" s="1"/>
  <c r="N17" i="9" l="1"/>
  <c r="M18" i="9" s="1"/>
  <c r="E13" i="9"/>
  <c r="F13" i="9"/>
  <c r="E14" i="9" s="1"/>
  <c r="N18" i="9" l="1"/>
  <c r="M19" i="9" s="1"/>
  <c r="F14" i="9"/>
  <c r="G14" i="9" s="1"/>
  <c r="G13" i="9"/>
  <c r="N19" i="9" l="1"/>
  <c r="M20" i="9" s="1"/>
  <c r="E15" i="9"/>
  <c r="N20" i="9" l="1"/>
  <c r="M21" i="9" s="1"/>
  <c r="F15" i="9"/>
  <c r="G15" i="9" s="1"/>
  <c r="N21" i="9" l="1"/>
  <c r="M22" i="9" s="1"/>
  <c r="E16" i="9"/>
  <c r="N22" i="9" l="1"/>
  <c r="M23" i="9" s="1"/>
  <c r="N23" i="9" s="1"/>
  <c r="F16" i="9"/>
  <c r="E17" i="9" s="1"/>
  <c r="F17" i="9" l="1"/>
  <c r="G17" i="9" s="1"/>
  <c r="G16" i="9"/>
  <c r="E18" i="9" l="1"/>
  <c r="F18" i="9" l="1"/>
  <c r="E19" i="9" s="1"/>
  <c r="F19" i="9" l="1"/>
  <c r="E20" i="9" s="1"/>
  <c r="G18" i="9"/>
  <c r="G19" i="9" l="1"/>
  <c r="F20" i="9"/>
  <c r="G20" i="9" s="1"/>
  <c r="E21" i="9"/>
  <c r="F21" i="9" l="1"/>
  <c r="G21" i="9" s="1"/>
  <c r="E22" i="9" l="1"/>
  <c r="F22" i="9"/>
  <c r="E23" i="9" l="1"/>
  <c r="F23" i="9"/>
  <c r="G23" i="9" s="1"/>
  <c r="G22" i="9"/>
  <c r="H23" i="9" l="1"/>
  <c r="I23" i="9" s="1"/>
  <c r="H22" i="9"/>
  <c r="I22" i="9" s="1"/>
  <c r="H4" i="9"/>
  <c r="I4" i="9" s="1"/>
  <c r="H5" i="9"/>
  <c r="I5" i="9" s="1"/>
  <c r="H6" i="9"/>
  <c r="I6" i="9" s="1"/>
  <c r="H7" i="9"/>
  <c r="I7" i="9" s="1"/>
  <c r="H9" i="9"/>
  <c r="I9" i="9" s="1"/>
  <c r="H8" i="9"/>
  <c r="I8" i="9" s="1"/>
  <c r="H11" i="9"/>
  <c r="I11" i="9" s="1"/>
  <c r="H10" i="9"/>
  <c r="I10" i="9" s="1"/>
  <c r="H12" i="9"/>
  <c r="I12" i="9" s="1"/>
  <c r="H14" i="9"/>
  <c r="I14" i="9" s="1"/>
  <c r="H13" i="9"/>
  <c r="I13" i="9" s="1"/>
  <c r="H21" i="9"/>
  <c r="I21" i="9" s="1"/>
  <c r="H17" i="9"/>
  <c r="I17" i="9" s="1"/>
  <c r="H20" i="9"/>
  <c r="I20" i="9" s="1"/>
  <c r="H15" i="9"/>
  <c r="I15" i="9" s="1"/>
  <c r="H16" i="9"/>
  <c r="I16" i="9" s="1"/>
  <c r="H18" i="9"/>
  <c r="I18" i="9" s="1"/>
  <c r="H19" i="9"/>
  <c r="I19" i="9" s="1"/>
  <c r="F11" i="8"/>
  <c r="E11" i="8"/>
  <c r="G10" i="8"/>
  <c r="H10" i="8" s="1"/>
  <c r="G9" i="8"/>
  <c r="H9" i="8" s="1"/>
  <c r="G8" i="8"/>
  <c r="H8" i="8" s="1"/>
  <c r="H7" i="8"/>
  <c r="G7" i="8"/>
  <c r="G6" i="8"/>
  <c r="H6" i="8" s="1"/>
  <c r="G5" i="8"/>
  <c r="H5" i="8" s="1"/>
  <c r="G4" i="8"/>
  <c r="H4" i="8" s="1"/>
  <c r="H11" i="8" l="1"/>
  <c r="G11" i="8"/>
  <c r="G16" i="7"/>
  <c r="G17" i="7" s="1"/>
  <c r="I11" i="7"/>
  <c r="I12" i="7" s="1"/>
  <c r="E11" i="7"/>
  <c r="E13" i="7" s="1"/>
  <c r="G5" i="7"/>
  <c r="G14" i="6" l="1"/>
  <c r="E12" i="6"/>
  <c r="D12" i="6"/>
  <c r="H19" i="5" l="1"/>
  <c r="G19" i="5"/>
  <c r="F19" i="5"/>
  <c r="G24" i="5" s="1"/>
  <c r="E19" i="5"/>
  <c r="D19" i="5"/>
  <c r="G23" i="5" s="1"/>
  <c r="C19" i="5"/>
  <c r="J13" i="5"/>
  <c r="I13" i="5"/>
  <c r="J12" i="5"/>
  <c r="I12" i="5"/>
  <c r="J11" i="5"/>
  <c r="I11" i="5"/>
  <c r="J10" i="5"/>
  <c r="I10" i="5"/>
  <c r="J9" i="5"/>
  <c r="I9" i="5"/>
  <c r="J8" i="5"/>
  <c r="I8" i="5"/>
  <c r="J19" i="5"/>
  <c r="I19" i="5"/>
  <c r="J12" i="4"/>
  <c r="H12" i="4"/>
  <c r="F12" i="4"/>
  <c r="G16" i="4" s="1"/>
  <c r="E12" i="4"/>
  <c r="H11" i="4"/>
  <c r="I11" i="4" s="1"/>
  <c r="K11" i="4" s="1"/>
  <c r="G11" i="4"/>
  <c r="I10" i="4"/>
  <c r="K10" i="4" s="1"/>
  <c r="H10" i="4"/>
  <c r="G10" i="4"/>
  <c r="H9" i="4"/>
  <c r="I9" i="4" s="1"/>
  <c r="K9" i="4" s="1"/>
  <c r="G9" i="4"/>
  <c r="I8" i="4"/>
  <c r="K8" i="4" s="1"/>
  <c r="H8" i="4"/>
  <c r="G8" i="4"/>
  <c r="H7" i="4"/>
  <c r="I7" i="4" s="1"/>
  <c r="K7" i="4" s="1"/>
  <c r="G7" i="4"/>
  <c r="I6" i="4"/>
  <c r="K6" i="4" s="1"/>
  <c r="H6" i="4"/>
  <c r="G6" i="4"/>
  <c r="G12" i="4" s="1"/>
  <c r="G17" i="4" s="1"/>
  <c r="H5" i="4"/>
  <c r="I5" i="4" s="1"/>
  <c r="G5" i="4"/>
  <c r="K5" i="4" l="1"/>
  <c r="K12" i="4" s="1"/>
  <c r="G19" i="4" s="1"/>
  <c r="I12" i="4"/>
  <c r="G18" i="4" s="1"/>
  <c r="C21" i="3" l="1"/>
  <c r="I30" i="3" s="1"/>
  <c r="B21" i="3"/>
  <c r="I29" i="3" s="1"/>
  <c r="E21" i="3"/>
  <c r="F21" i="3"/>
  <c r="E60" i="3" l="1"/>
  <c r="E59" i="3"/>
  <c r="E39" i="3"/>
  <c r="E49" i="3" s="1"/>
  <c r="E36" i="3"/>
  <c r="E46" i="3" s="1"/>
  <c r="E33" i="3"/>
  <c r="E43" i="3" s="1"/>
  <c r="E56" i="3" l="1"/>
  <c r="E53" i="3"/>
  <c r="E54" i="3"/>
  <c r="E57" i="3"/>
  <c r="L12" i="2"/>
  <c r="P12" i="2" s="1"/>
  <c r="K12" i="2"/>
  <c r="O12" i="2" s="1"/>
  <c r="P11" i="2"/>
  <c r="L11" i="2"/>
  <c r="K11" i="2"/>
  <c r="O11" i="2" s="1"/>
  <c r="Q11" i="2" s="1"/>
  <c r="P10" i="2"/>
  <c r="Q10" i="2" s="1"/>
  <c r="O10" i="2"/>
  <c r="L10" i="2"/>
  <c r="K10" i="2"/>
  <c r="P9" i="2"/>
  <c r="O9" i="2"/>
  <c r="Q9" i="2" s="1"/>
  <c r="L9" i="2"/>
  <c r="K9" i="2"/>
  <c r="O8" i="2"/>
  <c r="L8" i="2"/>
  <c r="P8" i="2" s="1"/>
  <c r="K8" i="2"/>
  <c r="L7" i="2"/>
  <c r="P7" i="2" s="1"/>
  <c r="K7" i="2"/>
  <c r="O7" i="2" s="1"/>
  <c r="Q7" i="2" s="1"/>
  <c r="L6" i="2"/>
  <c r="P6" i="2" s="1"/>
  <c r="K6" i="2"/>
  <c r="O6" i="2" s="1"/>
  <c r="L5" i="2"/>
  <c r="P5" i="2" s="1"/>
  <c r="K5" i="2"/>
  <c r="O5" i="2" s="1"/>
  <c r="Q5" i="2" s="1"/>
  <c r="L4" i="2"/>
  <c r="P4" i="2" s="1"/>
  <c r="O4" i="2"/>
  <c r="Q4" i="2" s="1"/>
  <c r="P3" i="2"/>
  <c r="O3" i="2"/>
  <c r="Q3" i="2" s="1"/>
  <c r="Q8" i="2" l="1"/>
  <c r="Q6" i="2"/>
  <c r="Q13" i="2" s="1"/>
  <c r="Q12" i="2"/>
  <c r="S12" i="2" s="1"/>
  <c r="S8" i="2" l="1"/>
  <c r="S5" i="2"/>
  <c r="S9" i="2"/>
  <c r="S7" i="2"/>
  <c r="S6" i="2"/>
  <c r="S11" i="2"/>
  <c r="S4" i="2"/>
  <c r="S3" i="2"/>
  <c r="S10" i="2"/>
  <c r="S13" i="2" l="1"/>
  <c r="K16" i="2" s="1"/>
  <c r="E12" i="1" l="1"/>
  <c r="C15" i="1"/>
  <c r="E17" i="1" s="1"/>
  <c r="D23" i="1" l="1"/>
  <c r="D22" i="1"/>
  <c r="D21" i="1"/>
</calcChain>
</file>

<file path=xl/sharedStrings.xml><?xml version="1.0" encoding="utf-8"?>
<sst xmlns="http://schemas.openxmlformats.org/spreadsheetml/2006/main" count="320" uniqueCount="148">
  <si>
    <t>Age</t>
  </si>
  <si>
    <t>Population</t>
  </si>
  <si>
    <t>26-29</t>
  </si>
  <si>
    <t>31-34</t>
  </si>
  <si>
    <t>36-39</t>
  </si>
  <si>
    <t>41-44</t>
  </si>
  <si>
    <t>46-49</t>
  </si>
  <si>
    <t>51-54</t>
  </si>
  <si>
    <t>56-59</t>
  </si>
  <si>
    <t>Total</t>
  </si>
  <si>
    <t>WI(0,5)</t>
  </si>
  <si>
    <t>Bad</t>
  </si>
  <si>
    <t>WI(0)</t>
  </si>
  <si>
    <t>WI(5)</t>
  </si>
  <si>
    <t>All Total</t>
  </si>
  <si>
    <t>Very Bad</t>
  </si>
  <si>
    <t>Digit</t>
  </si>
  <si>
    <t>10_19</t>
  </si>
  <si>
    <t>20_29</t>
  </si>
  <si>
    <t>30_39</t>
  </si>
  <si>
    <t>40_49</t>
  </si>
  <si>
    <t>50_59</t>
  </si>
  <si>
    <t>60_69</t>
  </si>
  <si>
    <t>70_79</t>
  </si>
  <si>
    <t>80_89</t>
  </si>
  <si>
    <t>90_99</t>
  </si>
  <si>
    <t>sum</t>
  </si>
  <si>
    <t>as</t>
  </si>
  <si>
    <t>de</t>
  </si>
  <si>
    <t>product</t>
  </si>
  <si>
    <t>add</t>
  </si>
  <si>
    <t>%</t>
  </si>
  <si>
    <t>abs dev</t>
  </si>
  <si>
    <t>MI</t>
  </si>
  <si>
    <t>Percentage Year</t>
  </si>
  <si>
    <t>Age Group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</si>
  <si>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</si>
  <si>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</si>
  <si>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</si>
  <si>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</si>
  <si>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</si>
  <si>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</si>
  <si>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</si>
  <si>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</si>
  <si>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</si>
  <si>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</si>
  <si>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</si>
  <si>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</si>
  <si>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</si>
  <si>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</si>
  <si>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</si>
  <si>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</si>
  <si>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</si>
  <si>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 xml:space="preserve">Total </t>
  </si>
  <si>
    <t>a)     Draw a population pyramid</t>
  </si>
  <si>
    <t>b)     Compute intercensal growth rate using different growth functions.</t>
  </si>
  <si>
    <t>c)     Find the time to double the population size of 2021.</t>
  </si>
  <si>
    <t>d)     Calculate the projected population for the years 2041 and 2050.</t>
  </si>
  <si>
    <t>e)     Make an overall comment</t>
  </si>
  <si>
    <t>P0</t>
  </si>
  <si>
    <t>Pt</t>
  </si>
  <si>
    <t>sol:b</t>
  </si>
  <si>
    <t>t</t>
  </si>
  <si>
    <t>Linear growth function</t>
  </si>
  <si>
    <t>r</t>
  </si>
  <si>
    <t>Geometric growth function</t>
  </si>
  <si>
    <t>Exponential growth function</t>
  </si>
  <si>
    <t>sol:c</t>
  </si>
  <si>
    <t>sol:d</t>
  </si>
  <si>
    <t>p30</t>
  </si>
  <si>
    <t>p39</t>
  </si>
  <si>
    <t>No. of women</t>
  </si>
  <si>
    <t>Total birth</t>
  </si>
  <si>
    <t>ASFRi</t>
  </si>
  <si>
    <t>Female birth</t>
  </si>
  <si>
    <t>ASFRfi</t>
  </si>
  <si>
    <t>Survival factor</t>
  </si>
  <si>
    <t>Repro.survival</t>
  </si>
  <si>
    <t>45-39</t>
  </si>
  <si>
    <t>GFR</t>
  </si>
  <si>
    <t>TFR</t>
  </si>
  <si>
    <t>GRR</t>
  </si>
  <si>
    <t>NRR</t>
  </si>
  <si>
    <t>Male</t>
  </si>
  <si>
    <t>Female</t>
  </si>
  <si>
    <t>Birth</t>
  </si>
  <si>
    <t>Death</t>
  </si>
  <si>
    <t xml:space="preserve">Male </t>
  </si>
  <si>
    <t>ASFR</t>
  </si>
  <si>
    <t>ASFR(Female)</t>
  </si>
  <si>
    <t>-</t>
  </si>
  <si>
    <t>70+</t>
  </si>
  <si>
    <t>(a)</t>
  </si>
  <si>
    <t>(b)</t>
  </si>
  <si>
    <t>CDR(Male)</t>
  </si>
  <si>
    <t>CDR(Female)</t>
  </si>
  <si>
    <t>i</t>
  </si>
  <si>
    <t>Age group</t>
  </si>
  <si>
    <t>Male never married Si</t>
  </si>
  <si>
    <t>Female never married Si</t>
  </si>
  <si>
    <t>N</t>
  </si>
  <si>
    <t>SMAM(Male)</t>
  </si>
  <si>
    <t>SMAM(Female)</t>
  </si>
  <si>
    <t>Population 1991 (P1)</t>
  </si>
  <si>
    <t>Population 2001 (P2)</t>
  </si>
  <si>
    <t>Time (t)</t>
  </si>
  <si>
    <t>Arithmetic growth  rate</t>
  </si>
  <si>
    <t>Geometric growth rate</t>
  </si>
  <si>
    <t>Exponential growth rate</t>
  </si>
  <si>
    <t>mid value(x)</t>
  </si>
  <si>
    <t>ASFR f(x)</t>
  </si>
  <si>
    <t>p(x)</t>
  </si>
  <si>
    <t>f(x).p(x)</t>
  </si>
  <si>
    <t>x.f(x).p(x)</t>
  </si>
  <si>
    <t>MLG</t>
  </si>
  <si>
    <t>Age(x)</t>
  </si>
  <si>
    <t>q(x)</t>
  </si>
  <si>
    <t>l(x)</t>
  </si>
  <si>
    <t>d(x)</t>
  </si>
  <si>
    <t>L(x)</t>
  </si>
  <si>
    <t>T(x)</t>
  </si>
  <si>
    <r>
      <t>e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</si>
  <si>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75+</t>
  </si>
  <si>
    <t>Male population (1981)</t>
  </si>
  <si>
    <t>SR</t>
  </si>
  <si>
    <t>Male population (1991)</t>
  </si>
  <si>
    <t>Expected population (1991)</t>
  </si>
  <si>
    <t>Net migration</t>
  </si>
  <si>
    <t>Place of</t>
  </si>
  <si>
    <t>Place of birth</t>
  </si>
  <si>
    <t>enumeration</t>
  </si>
  <si>
    <t>Chittagong</t>
  </si>
  <si>
    <t>Dhaka</t>
  </si>
  <si>
    <t>Khulna</t>
  </si>
  <si>
    <t>Rajshahi</t>
  </si>
  <si>
    <t>In migration</t>
  </si>
  <si>
    <t>IMR</t>
  </si>
  <si>
    <t>Out migration</t>
  </si>
  <si>
    <t>OMR</t>
  </si>
  <si>
    <t>NMR</t>
  </si>
  <si>
    <t>GMR</t>
  </si>
  <si>
    <t>ER</t>
  </si>
  <si>
    <t>khulna</t>
  </si>
  <si>
    <t>lx</t>
  </si>
  <si>
    <t>dx</t>
  </si>
  <si>
    <t>Lx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</si>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</sst>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rgb="FF7030A0"/>
      <name val="Times New Roman"/>
      <family val="1"/>
    </font>
    <font>
      <b/>
      <sz val="12"/>
      <color rgb="FF002060"/>
      <name val="Times New Roman"/>
      <family val="1"/>
    </font>
    <font>
      <sz val="12"/>
      <color rgb="FF7030A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/>
    <xf numFmtId="0" fontId="5" fillId="5" borderId="1" xfId="0" applyFont="1" applyFill="1" applyBorder="1"/>
    <xf numFmtId="0" fontId="4" fillId="5" borderId="1" xfId="0" applyFont="1" applyFill="1" applyBorder="1"/>
    <xf numFmtId="0" fontId="0" fillId="6" borderId="1" xfId="0" applyFill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'[1]popuPyramid-25'!$D$3:$D$19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'[1]popuPyramid-25'!$E$3:$E$19</c:f>
              <c:numCache>
                <c:formatCode>General</c:formatCode>
                <c:ptCount val="17"/>
                <c:pt idx="0">
                  <c:v>-9.309362558916396</c:v>
                </c:pt>
                <c:pt idx="1">
                  <c:v>-8.6134245488796353</c:v>
                </c:pt>
                <c:pt idx="2">
                  <c:v>-7.8841196479507003</c:v>
                </c:pt>
                <c:pt idx="3">
                  <c:v>-7.3979163806647446</c:v>
                </c:pt>
                <c:pt idx="4">
                  <c:v>-7.0737808691407738</c:v>
                </c:pt>
                <c:pt idx="5">
                  <c:v>-6.8306792354977954</c:v>
                </c:pt>
                <c:pt idx="6">
                  <c:v>-6.6781448771335743</c:v>
                </c:pt>
                <c:pt idx="7">
                  <c:v>-6.5399106148659989</c:v>
                </c:pt>
                <c:pt idx="8">
                  <c:v>-6.2062417059442643</c:v>
                </c:pt>
                <c:pt idx="9">
                  <c:v>-5.8964062905169392</c:v>
                </c:pt>
                <c:pt idx="10">
                  <c:v>-5.4674034076175655</c:v>
                </c:pt>
                <c:pt idx="11">
                  <c:v>-5.281502158361171</c:v>
                </c:pt>
                <c:pt idx="12">
                  <c:v>-4.4687800302018026</c:v>
                </c:pt>
                <c:pt idx="13">
                  <c:v>-4.0413024908860722</c:v>
                </c:pt>
                <c:pt idx="14">
                  <c:v>-3.5204929910462335</c:v>
                </c:pt>
                <c:pt idx="15">
                  <c:v>-2.6931847648682865</c:v>
                </c:pt>
                <c:pt idx="16">
                  <c:v>-2.0973474275080459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4-48E3-A456-1BAD725D88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'[1]popuPyramid-25'!$D$3:$D$19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'[1]popuPyramid-25'!$F$3:$F$19</c:f>
              <c:numCache>
                <c:formatCode>General</c:formatCode>
                <c:ptCount val="17"/>
                <c:pt idx="0">
                  <c:v>9.3471484186961664</c:v>
                </c:pt>
                <c:pt idx="1">
                  <c:v>8.6461122872939544</c:v>
                </c:pt>
                <c:pt idx="2">
                  <c:v>7.9492823726801536</c:v>
                </c:pt>
                <c:pt idx="3">
                  <c:v>7.7113974454243364</c:v>
                </c:pt>
                <c:pt idx="4">
                  <c:v>7.0290556108595164</c:v>
                </c:pt>
                <c:pt idx="5">
                  <c:v>6.776682603554721</c:v>
                </c:pt>
                <c:pt idx="6">
                  <c:v>6.5710453383434047</c:v>
                </c:pt>
                <c:pt idx="7">
                  <c:v>6.3467137762946964</c:v>
                </c:pt>
                <c:pt idx="8">
                  <c:v>6.1130350658272929</c:v>
                </c:pt>
                <c:pt idx="9">
                  <c:v>5.8419677616851038</c:v>
                </c:pt>
                <c:pt idx="10">
                  <c:v>5.4026517860063841</c:v>
                </c:pt>
                <c:pt idx="11">
                  <c:v>5.2998331534007264</c:v>
                </c:pt>
                <c:pt idx="12">
                  <c:v>4.5099991120208998</c:v>
                </c:pt>
                <c:pt idx="13">
                  <c:v>4.0052530974113072</c:v>
                </c:pt>
                <c:pt idx="14">
                  <c:v>3.5192013796391066</c:v>
                </c:pt>
                <c:pt idx="15">
                  <c:v>2.8041445256088497</c:v>
                </c:pt>
                <c:pt idx="16">
                  <c:v>2.1264762652533777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4-48E3-A456-1BAD725D8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352589471"/>
        <c:axId val="1352589951"/>
      </c:barChart>
      <c:catAx>
        <c:axId val="135258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89951"/>
        <c:crosses val="autoZero"/>
        <c:auto val="1"/>
        <c:lblAlgn val="ctr"/>
        <c:lblOffset val="100"/>
        <c:noMultiLvlLbl val="0"/>
      </c:catAx>
      <c:valAx>
        <c:axId val="135258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%;#,##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89471"/>
        <c:crosses val="autoZero"/>
        <c:crossBetween val="between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2001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'probem-04'!$D$4:$D$20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'probem-04'!$E$4:$E$20</c:f>
              <c:numCache>
                <c:formatCode>General</c:formatCode>
                <c:ptCount val="17"/>
                <c:pt idx="0">
                  <c:v>-9.309362558916396</c:v>
                </c:pt>
                <c:pt idx="1">
                  <c:v>-8.6134245488796353</c:v>
                </c:pt>
                <c:pt idx="2">
                  <c:v>-7.8841196479507003</c:v>
                </c:pt>
                <c:pt idx="3">
                  <c:v>-7.3979163806647446</c:v>
                </c:pt>
                <c:pt idx="4">
                  <c:v>-7.0737808691407738</c:v>
                </c:pt>
                <c:pt idx="5">
                  <c:v>-6.8306792354977954</c:v>
                </c:pt>
                <c:pt idx="6">
                  <c:v>-6.6781448771335743</c:v>
                </c:pt>
                <c:pt idx="7">
                  <c:v>-6.5399106148659989</c:v>
                </c:pt>
                <c:pt idx="8">
                  <c:v>-6.2062417059442643</c:v>
                </c:pt>
                <c:pt idx="9">
                  <c:v>-5.8964062905169392</c:v>
                </c:pt>
                <c:pt idx="10">
                  <c:v>-5.4674034076175655</c:v>
                </c:pt>
                <c:pt idx="11">
                  <c:v>-5.281502158361171</c:v>
                </c:pt>
                <c:pt idx="12">
                  <c:v>-4.4687800302018026</c:v>
                </c:pt>
                <c:pt idx="13">
                  <c:v>-4.0413024908860722</c:v>
                </c:pt>
                <c:pt idx="14">
                  <c:v>-3.5204929910462335</c:v>
                </c:pt>
                <c:pt idx="15">
                  <c:v>-2.6931847648682865</c:v>
                </c:pt>
                <c:pt idx="16">
                  <c:v>-2.0973474275080459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5-4B99-9DD8-79AD3945127D}"/>
            </c:ext>
          </c:extLst>
        </c:ser>
        <c:ser>
          <c:idx val="1"/>
          <c:order val="1"/>
          <c:tx>
            <c:v>2011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'probem-04'!$D$4:$D$20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'probem-04'!$F$4:$F$20</c:f>
              <c:numCache>
                <c:formatCode>General</c:formatCode>
                <c:ptCount val="17"/>
                <c:pt idx="0">
                  <c:v>9.3471484186961664</c:v>
                </c:pt>
                <c:pt idx="1">
                  <c:v>8.6461122872939544</c:v>
                </c:pt>
                <c:pt idx="2">
                  <c:v>7.9492823726801536</c:v>
                </c:pt>
                <c:pt idx="3">
                  <c:v>7.7113974454243364</c:v>
                </c:pt>
                <c:pt idx="4">
                  <c:v>7.0290556108595164</c:v>
                </c:pt>
                <c:pt idx="5">
                  <c:v>6.776682603554721</c:v>
                </c:pt>
                <c:pt idx="6">
                  <c:v>6.5710453383434047</c:v>
                </c:pt>
                <c:pt idx="7">
                  <c:v>6.3467137762946964</c:v>
                </c:pt>
                <c:pt idx="8">
                  <c:v>6.1130350658272929</c:v>
                </c:pt>
                <c:pt idx="9">
                  <c:v>5.8419677616851038</c:v>
                </c:pt>
                <c:pt idx="10">
                  <c:v>5.4026517860063841</c:v>
                </c:pt>
                <c:pt idx="11">
                  <c:v>5.2998331534007264</c:v>
                </c:pt>
                <c:pt idx="12">
                  <c:v>4.5099991120208998</c:v>
                </c:pt>
                <c:pt idx="13">
                  <c:v>4.0052530974113072</c:v>
                </c:pt>
                <c:pt idx="14">
                  <c:v>3.5192013796391066</c:v>
                </c:pt>
                <c:pt idx="15">
                  <c:v>2.8041445256088497</c:v>
                </c:pt>
                <c:pt idx="16">
                  <c:v>2.1264762652533777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5-4B99-9DD8-79AD39451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0058815"/>
        <c:axId val="1780049247"/>
      </c:barChart>
      <c:catAx>
        <c:axId val="17800588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80049247"/>
        <c:crosses val="autoZero"/>
        <c:auto val="1"/>
        <c:lblAlgn val="ctr"/>
        <c:lblOffset val="100"/>
        <c:noMultiLvlLbl val="0"/>
      </c:catAx>
      <c:valAx>
        <c:axId val="178004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05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442038495188101E-2"/>
          <c:y val="0.13018970851068412"/>
          <c:w val="0.8838912948381452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[2]Sheet1!$J$2</c:f>
              <c:strCache>
                <c:ptCount val="1"/>
                <c:pt idx="0">
                  <c:v>ASFR f(x)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[2]Sheet1!$I$3:$I$9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[2]Sheet1!$J$3:$J$9</c:f>
              <c:numCache>
                <c:formatCode>General</c:formatCode>
                <c:ptCount val="7"/>
                <c:pt idx="0">
                  <c:v>6.3E-2</c:v>
                </c:pt>
                <c:pt idx="1">
                  <c:v>0.13200000000000001</c:v>
                </c:pt>
                <c:pt idx="2">
                  <c:v>0.128</c:v>
                </c:pt>
                <c:pt idx="3">
                  <c:v>0.11</c:v>
                </c:pt>
                <c:pt idx="4">
                  <c:v>0.08</c:v>
                </c:pt>
                <c:pt idx="5">
                  <c:v>4.4999999999999998E-2</c:v>
                </c:pt>
                <c:pt idx="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7-47EC-B88C-52FAE434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372975"/>
        <c:axId val="521373455"/>
      </c:lineChart>
      <c:catAx>
        <c:axId val="52137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73455"/>
        <c:crosses val="autoZero"/>
        <c:auto val="1"/>
        <c:lblAlgn val="ctr"/>
        <c:lblOffset val="100"/>
        <c:noMultiLvlLbl val="0"/>
      </c:catAx>
      <c:valAx>
        <c:axId val="52137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7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42038495188095E-2"/>
          <c:y val="0.19486111111111112"/>
          <c:w val="0.8775579615048119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'probem-09'!$J$4:$J$10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xVal>
          <c:yVal>
            <c:numRef>
              <c:f>'probem-09'!$K$4:$K$10</c:f>
              <c:numCache>
                <c:formatCode>General</c:formatCode>
                <c:ptCount val="7"/>
                <c:pt idx="0">
                  <c:v>6.3E-2</c:v>
                </c:pt>
                <c:pt idx="1">
                  <c:v>0.13200000000000001</c:v>
                </c:pt>
                <c:pt idx="2">
                  <c:v>0.128</c:v>
                </c:pt>
                <c:pt idx="3">
                  <c:v>0.11</c:v>
                </c:pt>
                <c:pt idx="4">
                  <c:v>0.08</c:v>
                </c:pt>
                <c:pt idx="5">
                  <c:v>4.4999999999999998E-2</c:v>
                </c:pt>
                <c:pt idx="6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C9-4DEA-8068-E80F092A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896879"/>
        <c:axId val="2103762815"/>
      </c:scatterChart>
      <c:valAx>
        <c:axId val="1779896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62815"/>
        <c:crosses val="autoZero"/>
        <c:crossBetween val="midCat"/>
      </c:valAx>
      <c:valAx>
        <c:axId val="210376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89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575944</xdr:colOff>
      <xdr:row>3</xdr:row>
      <xdr:rowOff>140970</xdr:rowOff>
    </xdr:from>
    <xdr:to>
      <xdr:col>26</xdr:col>
      <xdr:colOff>267969</xdr:colOff>
      <xdr:row>23</xdr:row>
      <xdr:rowOff>134620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01D99-9B8D-4962-83D3-76476B4C6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5</xdr:row>
      <xdr:rowOff>140970</xdr:rowOff>
    </xdr:from>
    <xdr:to>
      <xdr:col>15</xdr:col>
      <xdr:colOff>228600</xdr:colOff>
      <xdr:row>20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752046-A8AB-4791-AE89-608EA4A29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13335</xdr:colOff>
      <xdr:row>2</xdr:row>
      <xdr:rowOff>15240</xdr:rowOff>
    </xdr:from>
    <xdr:to>
      <xdr:col>22</xdr:col>
      <xdr:colOff>318135</xdr:colOff>
      <xdr:row>16</xdr:row>
      <xdr:rowOff>27940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EF40A-6DEB-4760-9BC2-40E9A0490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213360</xdr:colOff>
      <xdr:row>13</xdr:row>
      <xdr:rowOff>156210</xdr:rowOff>
    </xdr:from>
    <xdr:to>
      <xdr:col>18</xdr:col>
      <xdr:colOff>518160</xdr:colOff>
      <xdr:row>28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77C566-675B-435C-B589-EB3D5B207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RAR/AppData/Local/Packages/5319275A.WhatsAppDesktop_cv1g1gvanyjgm/LocalState/sessions/375A76B4B372B889AFA8E453ACC6441F4B515CCE/transfers/2026-21/problem-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RAR/AppData/Local/Packages/5319275A.WhatsAppDesktop_cv1g1gvanyjgm/LocalState/sessions/375A76B4B372B889AFA8E453ACC6441F4B515CCE/transfers/2026-21/problem-09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uPyramid-25"/>
    </sheetNames>
    <sheetDataSet>
      <sheetData sheetId="0">
        <row r="3">
          <cell r="D3" t="str">
            <v>0-4</v>
          </cell>
          <cell r="E3">
            <v>-9.309362558916396</v>
          </cell>
          <cell r="F3">
            <v>9.3471484186961664</v>
          </cell>
        </row>
        <row r="4">
          <cell r="D4" t="str">
            <v>5-9</v>
          </cell>
          <cell r="E4">
            <v>-8.6134245488796353</v>
          </cell>
          <cell r="F4">
            <v>8.6461122872939544</v>
          </cell>
        </row>
        <row r="5">
          <cell r="D5" t="str">
            <v>10-14</v>
          </cell>
          <cell r="E5">
            <v>-7.8841196479507003</v>
          </cell>
          <cell r="F5">
            <v>7.9492823726801536</v>
          </cell>
        </row>
        <row r="6">
          <cell r="D6" t="str">
            <v>15-19</v>
          </cell>
          <cell r="E6">
            <v>-7.3979163806647446</v>
          </cell>
          <cell r="F6">
            <v>7.7113974454243364</v>
          </cell>
        </row>
        <row r="7">
          <cell r="D7" t="str">
            <v>20-24</v>
          </cell>
          <cell r="E7">
            <v>-7.0737808691407738</v>
          </cell>
          <cell r="F7">
            <v>7.0290556108595164</v>
          </cell>
        </row>
        <row r="8">
          <cell r="D8" t="str">
            <v>25-29</v>
          </cell>
          <cell r="E8">
            <v>-6.8306792354977954</v>
          </cell>
          <cell r="F8">
            <v>6.776682603554721</v>
          </cell>
        </row>
        <row r="9">
          <cell r="D9" t="str">
            <v>30-34</v>
          </cell>
          <cell r="E9">
            <v>-6.6781448771335743</v>
          </cell>
          <cell r="F9">
            <v>6.5710453383434047</v>
          </cell>
        </row>
        <row r="10">
          <cell r="D10" t="str">
            <v>35-39</v>
          </cell>
          <cell r="E10">
            <v>-6.5399106148659989</v>
          </cell>
          <cell r="F10">
            <v>6.3467137762946964</v>
          </cell>
        </row>
        <row r="11">
          <cell r="D11" t="str">
            <v>40-44</v>
          </cell>
          <cell r="E11">
            <v>-6.2062417059442643</v>
          </cell>
          <cell r="F11">
            <v>6.1130350658272929</v>
          </cell>
        </row>
        <row r="12">
          <cell r="D12" t="str">
            <v>45-49</v>
          </cell>
          <cell r="E12">
            <v>-5.8964062905169392</v>
          </cell>
          <cell r="F12">
            <v>5.8419677616851038</v>
          </cell>
        </row>
        <row r="13">
          <cell r="D13" t="str">
            <v>50-54</v>
          </cell>
          <cell r="E13">
            <v>-5.4674034076175655</v>
          </cell>
          <cell r="F13">
            <v>5.4026517860063841</v>
          </cell>
        </row>
        <row r="14">
          <cell r="D14" t="str">
            <v>55-59</v>
          </cell>
          <cell r="E14">
            <v>-5.281502158361171</v>
          </cell>
          <cell r="F14">
            <v>5.2998331534007264</v>
          </cell>
        </row>
        <row r="15">
          <cell r="D15" t="str">
            <v>60-64</v>
          </cell>
          <cell r="E15">
            <v>-4.4687800302018026</v>
          </cell>
          <cell r="F15">
            <v>4.5099991120208998</v>
          </cell>
        </row>
        <row r="16">
          <cell r="D16" t="str">
            <v>65-69</v>
          </cell>
          <cell r="E16">
            <v>-4.0413024908860722</v>
          </cell>
          <cell r="F16">
            <v>4.0052530974113072</v>
          </cell>
        </row>
        <row r="17">
          <cell r="D17" t="str">
            <v>70-74</v>
          </cell>
          <cell r="E17">
            <v>-3.5204929910462335</v>
          </cell>
          <cell r="F17">
            <v>3.5192013796391066</v>
          </cell>
        </row>
        <row r="18">
          <cell r="D18" t="str">
            <v>75-79</v>
          </cell>
          <cell r="E18">
            <v>-2.6931847648682865</v>
          </cell>
          <cell r="F18">
            <v>2.8041445256088497</v>
          </cell>
        </row>
        <row r="19">
          <cell r="D19" t="str">
            <v>80+</v>
          </cell>
          <cell r="E19">
            <v>-2.0973474275080459</v>
          </cell>
          <cell r="F19">
            <v>2.1264762652533777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J2" t="str">
            <v>ASFR f(x)</v>
          </cell>
        </row>
        <row r="3">
          <cell r="I3" t="str">
            <v>15-19</v>
          </cell>
          <cell r="J3">
            <v>6.3E-2</v>
          </cell>
        </row>
        <row r="4">
          <cell r="I4" t="str">
            <v>20-24</v>
          </cell>
          <cell r="J4">
            <v>0.13200000000000001</v>
          </cell>
        </row>
        <row r="5">
          <cell r="I5" t="str">
            <v>25-29</v>
          </cell>
          <cell r="J5">
            <v>0.128</v>
          </cell>
        </row>
        <row r="6">
          <cell r="I6" t="str">
            <v>30-34</v>
          </cell>
          <cell r="J6">
            <v>0.11</v>
          </cell>
        </row>
        <row r="7">
          <cell r="I7" t="str">
            <v>35-39</v>
          </cell>
          <cell r="J7">
            <v>0.08</v>
          </cell>
        </row>
        <row r="8">
          <cell r="I8" t="str">
            <v>40-44</v>
          </cell>
          <cell r="J8">
            <v>4.4999999999999998E-2</v>
          </cell>
        </row>
        <row r="9">
          <cell r="I9" t="str">
            <v>45-49</v>
          </cell>
          <cell r="J9">
            <v>7.0000000000000001E-3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2DCD-594F-4168-9DF5-724E64DB218A}">
  <dimension ref="B3:E23"/>
  <sheetViews>
    <sheetView tabSelected="1" workbookViewId="0">
      <selection activeCell="D25" sqref="D25"/>
    </sheetView>
  </sheetViews>
  <sheetFormatPr defaultRowHeight="14.4" x14ac:dyDescent="0.3"/>
  <cols>
    <col min="3" max="3" width="11.77734375" customWidth="1"/>
    <col min="5" max="5" width="12.6640625" customWidth="1"/>
  </cols>
  <sheetData>
    <row r="3" spans="2:5" ht="15.6" x14ac:dyDescent="0.3">
      <c r="B3" s="2" t="s">
        <v>0</v>
      </c>
      <c r="C3" s="2" t="s">
        <v>1</v>
      </c>
      <c r="D3" s="2" t="s">
        <v>0</v>
      </c>
      <c r="E3" s="2" t="s">
        <v>1</v>
      </c>
    </row>
    <row r="4" spans="2:5" ht="15.6" x14ac:dyDescent="0.3">
      <c r="B4" s="2">
        <v>23</v>
      </c>
      <c r="C4" s="2">
        <v>38687</v>
      </c>
      <c r="D4" s="2">
        <v>25</v>
      </c>
      <c r="E4" s="2">
        <v>77141</v>
      </c>
    </row>
    <row r="5" spans="2:5" ht="15.6" x14ac:dyDescent="0.3">
      <c r="B5" s="2">
        <v>24</v>
      </c>
      <c r="C5" s="2">
        <v>51289</v>
      </c>
      <c r="D5" s="2">
        <v>30</v>
      </c>
      <c r="E5" s="2">
        <v>110379</v>
      </c>
    </row>
    <row r="6" spans="2:5" ht="15.6" x14ac:dyDescent="0.3">
      <c r="B6" s="2" t="s">
        <v>2</v>
      </c>
      <c r="C6" s="2">
        <v>201450</v>
      </c>
      <c r="D6" s="2">
        <v>35</v>
      </c>
      <c r="E6" s="2">
        <v>64091</v>
      </c>
    </row>
    <row r="7" spans="2:5" ht="15.6" x14ac:dyDescent="0.3">
      <c r="B7" s="2" t="s">
        <v>3</v>
      </c>
      <c r="C7" s="2">
        <v>132136</v>
      </c>
      <c r="D7" s="2">
        <v>40</v>
      </c>
      <c r="E7" s="2">
        <v>81515</v>
      </c>
    </row>
    <row r="8" spans="2:5" ht="15.6" x14ac:dyDescent="0.3">
      <c r="B8" s="2" t="s">
        <v>4</v>
      </c>
      <c r="C8" s="2">
        <v>134140</v>
      </c>
      <c r="D8" s="2">
        <v>45</v>
      </c>
      <c r="E8" s="2">
        <v>44654</v>
      </c>
    </row>
    <row r="9" spans="2:5" ht="15.6" x14ac:dyDescent="0.3">
      <c r="B9" s="2" t="s">
        <v>5</v>
      </c>
      <c r="C9" s="2">
        <v>84422</v>
      </c>
      <c r="D9" s="2">
        <v>50</v>
      </c>
      <c r="E9" s="2">
        <v>52024</v>
      </c>
    </row>
    <row r="10" spans="2:5" ht="15.6" x14ac:dyDescent="0.3">
      <c r="B10" s="2" t="s">
        <v>6</v>
      </c>
      <c r="C10" s="2">
        <v>77102</v>
      </c>
      <c r="D10" s="2">
        <v>55</v>
      </c>
      <c r="E10" s="2">
        <v>14024</v>
      </c>
    </row>
    <row r="11" spans="2:5" ht="15.6" x14ac:dyDescent="0.3">
      <c r="B11" s="2" t="s">
        <v>7</v>
      </c>
      <c r="C11" s="2">
        <v>44751</v>
      </c>
      <c r="D11" s="2">
        <v>60</v>
      </c>
      <c r="E11" s="2">
        <v>38377</v>
      </c>
    </row>
    <row r="12" spans="2:5" ht="15.6" x14ac:dyDescent="0.3">
      <c r="B12" s="2" t="s">
        <v>8</v>
      </c>
      <c r="C12" s="2">
        <v>45283</v>
      </c>
      <c r="D12" s="2" t="s">
        <v>9</v>
      </c>
      <c r="E12" s="2">
        <f>SUM(E4:E11)</f>
        <v>482205</v>
      </c>
    </row>
    <row r="13" spans="2:5" ht="15.6" x14ac:dyDescent="0.3">
      <c r="B13" s="2">
        <v>61</v>
      </c>
      <c r="C13" s="2">
        <v>4779</v>
      </c>
      <c r="D13" s="2"/>
      <c r="E13" s="2"/>
    </row>
    <row r="14" spans="2:5" ht="15.6" x14ac:dyDescent="0.3">
      <c r="B14" s="2">
        <v>62</v>
      </c>
      <c r="C14" s="2">
        <v>7866</v>
      </c>
      <c r="D14" s="2"/>
      <c r="E14" s="2"/>
    </row>
    <row r="15" spans="2:5" ht="15.6" x14ac:dyDescent="0.3">
      <c r="B15" s="2" t="s">
        <v>9</v>
      </c>
      <c r="C15" s="3">
        <f>SUM(C4:C14)</f>
        <v>821905</v>
      </c>
      <c r="D15" s="2"/>
      <c r="E15" s="2"/>
    </row>
    <row r="16" spans="2:5" ht="15.6" x14ac:dyDescent="0.3">
      <c r="B16" s="4"/>
      <c r="C16" s="1"/>
      <c r="D16" s="1"/>
      <c r="E16" s="1"/>
    </row>
    <row r="17" spans="2:5" ht="15.6" x14ac:dyDescent="0.3">
      <c r="B17" s="5"/>
      <c r="C17" s="4"/>
      <c r="D17" s="3" t="s">
        <v>14</v>
      </c>
      <c r="E17" s="3">
        <f>C15+E12</f>
        <v>1304110</v>
      </c>
    </row>
    <row r="21" spans="2:5" ht="15.6" x14ac:dyDescent="0.3">
      <c r="C21" s="6" t="s">
        <v>10</v>
      </c>
      <c r="D21" s="6">
        <f>((5*E12)/E17)*100</f>
        <v>184.87895959696652</v>
      </c>
      <c r="E21" s="6" t="s">
        <v>15</v>
      </c>
    </row>
    <row r="22" spans="2:5" ht="15.6" x14ac:dyDescent="0.3">
      <c r="C22" s="6" t="s">
        <v>12</v>
      </c>
      <c r="D22" s="6">
        <f>((10*(E5+E7+E9+E11))/E17)*100</f>
        <v>216.46563556755183</v>
      </c>
      <c r="E22" s="6" t="s">
        <v>15</v>
      </c>
    </row>
    <row r="23" spans="2:5" ht="15.6" x14ac:dyDescent="0.3">
      <c r="C23" s="6" t="s">
        <v>13</v>
      </c>
      <c r="D23" s="6">
        <f>((10*(E4+E6+E8+E10))/(E17))*100</f>
        <v>153.29228362638122</v>
      </c>
      <c r="E23" s="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7073-7E77-4AC7-8B5D-DBB625C8D0DF}">
  <dimension ref="A2:S16"/>
  <sheetViews>
    <sheetView workbookViewId="0">
      <selection activeCell="K16" sqref="K16"/>
    </sheetView>
  </sheetViews>
  <sheetFormatPr defaultRowHeight="14.4" x14ac:dyDescent="0.3"/>
  <sheetData>
    <row r="2" spans="1:19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29</v>
      </c>
      <c r="Q2" s="3" t="s">
        <v>30</v>
      </c>
      <c r="R2" s="3" t="s">
        <v>31</v>
      </c>
      <c r="S2" s="3" t="s">
        <v>32</v>
      </c>
    </row>
    <row r="3" spans="1:19" x14ac:dyDescent="0.3">
      <c r="A3" s="3">
        <v>0</v>
      </c>
      <c r="B3" s="3">
        <v>386</v>
      </c>
      <c r="C3" s="3">
        <v>417</v>
      </c>
      <c r="D3" s="3">
        <v>307</v>
      </c>
      <c r="E3" s="3">
        <v>190</v>
      </c>
      <c r="F3" s="3">
        <v>89</v>
      </c>
      <c r="G3" s="3">
        <v>80</v>
      </c>
      <c r="H3" s="3">
        <v>50</v>
      </c>
      <c r="I3" s="3">
        <v>40</v>
      </c>
      <c r="J3" s="3">
        <v>10</v>
      </c>
      <c r="K3" s="3">
        <f>SUM(B3:J3)</f>
        <v>1569</v>
      </c>
      <c r="L3" s="3">
        <f>SUM(C3:J3)</f>
        <v>1183</v>
      </c>
      <c r="M3" s="3">
        <v>1</v>
      </c>
      <c r="N3" s="3">
        <v>9</v>
      </c>
      <c r="O3" s="3">
        <f>K3*M3</f>
        <v>1569</v>
      </c>
      <c r="P3" s="3">
        <f>L3*N3</f>
        <v>10647</v>
      </c>
      <c r="Q3" s="3">
        <f>O3+P3</f>
        <v>12216</v>
      </c>
      <c r="R3" s="3">
        <f>(Q3/Q$13)*100</f>
        <v>21.694578131382194</v>
      </c>
      <c r="S3" s="3">
        <f>ABS(R3-10)</f>
        <v>11.694578131382194</v>
      </c>
    </row>
    <row r="4" spans="1:19" x14ac:dyDescent="0.3">
      <c r="A4" s="3">
        <v>1</v>
      </c>
      <c r="B4" s="3">
        <v>133</v>
      </c>
      <c r="C4" s="3">
        <v>93</v>
      </c>
      <c r="D4" s="3">
        <v>90</v>
      </c>
      <c r="E4" s="3">
        <v>89</v>
      </c>
      <c r="F4" s="3">
        <v>41</v>
      </c>
      <c r="G4" s="3">
        <v>35</v>
      </c>
      <c r="H4" s="3">
        <v>33</v>
      </c>
      <c r="I4" s="3">
        <v>10</v>
      </c>
      <c r="J4" s="3">
        <v>2</v>
      </c>
      <c r="K4" s="3">
        <f>SUM(B4:J4)</f>
        <v>526</v>
      </c>
      <c r="L4" s="3">
        <f t="shared" ref="L4:L12" si="0">SUM(C4:J4)</f>
        <v>393</v>
      </c>
      <c r="M4" s="3">
        <v>2</v>
      </c>
      <c r="N4" s="3">
        <v>8</v>
      </c>
      <c r="O4" s="3">
        <f t="shared" ref="O4:P12" si="1">K4*M4</f>
        <v>1052</v>
      </c>
      <c r="P4" s="3">
        <f t="shared" si="1"/>
        <v>3144</v>
      </c>
      <c r="Q4" s="3">
        <f t="shared" ref="Q4:Q12" si="2">O4+P4</f>
        <v>4196</v>
      </c>
      <c r="R4" s="3">
        <f t="shared" ref="R4:R12" si="3">(Q4/Q$13)*100</f>
        <v>7.4517395087819001</v>
      </c>
      <c r="S4" s="3">
        <f t="shared" ref="S4:S12" si="4">ABS(R4-10)</f>
        <v>2.5482604912180999</v>
      </c>
    </row>
    <row r="5" spans="1:19" x14ac:dyDescent="0.3">
      <c r="A5" s="3">
        <v>2</v>
      </c>
      <c r="B5" s="3">
        <v>341</v>
      </c>
      <c r="C5" s="3">
        <v>227</v>
      </c>
      <c r="D5" s="3">
        <v>100</v>
      </c>
      <c r="E5" s="3">
        <v>40</v>
      </c>
      <c r="F5" s="3">
        <v>30</v>
      </c>
      <c r="G5" s="3">
        <v>25</v>
      </c>
      <c r="H5" s="3">
        <v>15</v>
      </c>
      <c r="I5" s="3">
        <v>6</v>
      </c>
      <c r="J5" s="3">
        <v>4</v>
      </c>
      <c r="K5" s="3">
        <f>SUM(B5:J5)</f>
        <v>788</v>
      </c>
      <c r="L5" s="3">
        <f t="shared" si="0"/>
        <v>447</v>
      </c>
      <c r="M5" s="3">
        <v>3</v>
      </c>
      <c r="N5" s="3">
        <v>7</v>
      </c>
      <c r="O5" s="3">
        <f t="shared" si="1"/>
        <v>2364</v>
      </c>
      <c r="P5" s="3">
        <f t="shared" si="1"/>
        <v>3129</v>
      </c>
      <c r="Q5" s="3">
        <f t="shared" si="2"/>
        <v>5493</v>
      </c>
      <c r="R5" s="3">
        <f t="shared" si="3"/>
        <v>9.7551013159530449</v>
      </c>
      <c r="S5" s="3">
        <f t="shared" si="4"/>
        <v>0.24489868404695514</v>
      </c>
    </row>
    <row r="6" spans="1:19" x14ac:dyDescent="0.3">
      <c r="A6" s="3">
        <v>3</v>
      </c>
      <c r="B6" s="3">
        <v>223</v>
      </c>
      <c r="C6" s="3">
        <v>160</v>
      </c>
      <c r="D6" s="3">
        <v>90</v>
      </c>
      <c r="E6" s="3">
        <v>46</v>
      </c>
      <c r="F6" s="3">
        <v>28</v>
      </c>
      <c r="G6" s="3">
        <v>22</v>
      </c>
      <c r="H6" s="3">
        <v>8</v>
      </c>
      <c r="I6" s="3">
        <v>5</v>
      </c>
      <c r="J6" s="3">
        <v>1</v>
      </c>
      <c r="K6" s="3">
        <f t="shared" ref="K4:K12" si="5">SUM(B6:J6)</f>
        <v>583</v>
      </c>
      <c r="L6" s="3">
        <f t="shared" si="0"/>
        <v>360</v>
      </c>
      <c r="M6" s="3">
        <v>4</v>
      </c>
      <c r="N6" s="3">
        <v>6</v>
      </c>
      <c r="O6" s="3">
        <f t="shared" si="1"/>
        <v>2332</v>
      </c>
      <c r="P6" s="3">
        <f t="shared" si="1"/>
        <v>2160</v>
      </c>
      <c r="Q6" s="3">
        <f t="shared" si="2"/>
        <v>4492</v>
      </c>
      <c r="R6" s="3">
        <f t="shared" si="3"/>
        <v>7.9774103606883449</v>
      </c>
      <c r="S6" s="3">
        <f t="shared" si="4"/>
        <v>2.0225896393116551</v>
      </c>
    </row>
    <row r="7" spans="1:19" x14ac:dyDescent="0.3">
      <c r="A7" s="3">
        <v>4</v>
      </c>
      <c r="B7" s="3">
        <v>201</v>
      </c>
      <c r="C7" s="3">
        <v>138</v>
      </c>
      <c r="D7" s="3">
        <v>50</v>
      </c>
      <c r="E7" s="3">
        <v>38</v>
      </c>
      <c r="F7" s="3">
        <v>25</v>
      </c>
      <c r="G7" s="3">
        <v>10</v>
      </c>
      <c r="H7" s="3">
        <v>8</v>
      </c>
      <c r="I7" s="3">
        <v>5</v>
      </c>
      <c r="J7" s="3">
        <v>3</v>
      </c>
      <c r="K7" s="3">
        <f t="shared" si="5"/>
        <v>478</v>
      </c>
      <c r="L7" s="3">
        <f t="shared" si="0"/>
        <v>277</v>
      </c>
      <c r="M7" s="3">
        <v>5</v>
      </c>
      <c r="N7" s="3">
        <v>5</v>
      </c>
      <c r="O7" s="3">
        <f t="shared" si="1"/>
        <v>2390</v>
      </c>
      <c r="P7" s="3">
        <f t="shared" si="1"/>
        <v>1385</v>
      </c>
      <c r="Q7" s="3">
        <f t="shared" si="2"/>
        <v>3775</v>
      </c>
      <c r="R7" s="3">
        <f t="shared" si="3"/>
        <v>6.7040792768473949</v>
      </c>
      <c r="S7" s="3">
        <f t="shared" si="4"/>
        <v>3.2959207231526051</v>
      </c>
    </row>
    <row r="8" spans="1:19" x14ac:dyDescent="0.3">
      <c r="A8" s="3">
        <v>5</v>
      </c>
      <c r="B8" s="3">
        <v>298</v>
      </c>
      <c r="C8" s="3">
        <v>238</v>
      </c>
      <c r="D8" s="3">
        <v>201</v>
      </c>
      <c r="E8" s="3">
        <v>154</v>
      </c>
      <c r="F8" s="3">
        <v>148</v>
      </c>
      <c r="G8" s="3">
        <v>65</v>
      </c>
      <c r="H8" s="3">
        <v>25</v>
      </c>
      <c r="I8" s="3">
        <v>2</v>
      </c>
      <c r="J8" s="3">
        <v>3</v>
      </c>
      <c r="K8" s="3">
        <f t="shared" si="5"/>
        <v>1134</v>
      </c>
      <c r="L8" s="3">
        <f t="shared" si="0"/>
        <v>836</v>
      </c>
      <c r="M8" s="3">
        <v>6</v>
      </c>
      <c r="N8" s="3">
        <v>4</v>
      </c>
      <c r="O8" s="3">
        <f t="shared" si="1"/>
        <v>6804</v>
      </c>
      <c r="P8" s="3">
        <f t="shared" si="1"/>
        <v>3344</v>
      </c>
      <c r="Q8" s="3">
        <f t="shared" si="2"/>
        <v>10148</v>
      </c>
      <c r="R8" s="3">
        <f t="shared" si="3"/>
        <v>18.021985828197977</v>
      </c>
      <c r="S8" s="3">
        <f t="shared" si="4"/>
        <v>8.0219858281979768</v>
      </c>
    </row>
    <row r="9" spans="1:19" x14ac:dyDescent="0.3">
      <c r="A9" s="3">
        <v>6</v>
      </c>
      <c r="B9" s="3">
        <v>198</v>
      </c>
      <c r="C9" s="3">
        <v>105</v>
      </c>
      <c r="D9" s="3">
        <v>70</v>
      </c>
      <c r="E9" s="3">
        <v>49</v>
      </c>
      <c r="F9" s="3">
        <v>31</v>
      </c>
      <c r="G9" s="3">
        <v>18</v>
      </c>
      <c r="H9" s="3">
        <v>12</v>
      </c>
      <c r="I9" s="3">
        <v>6</v>
      </c>
      <c r="J9" s="3">
        <v>4</v>
      </c>
      <c r="K9" s="3">
        <f t="shared" si="5"/>
        <v>493</v>
      </c>
      <c r="L9" s="3">
        <f t="shared" si="0"/>
        <v>295</v>
      </c>
      <c r="M9" s="3">
        <v>7</v>
      </c>
      <c r="N9" s="3">
        <v>3</v>
      </c>
      <c r="O9" s="3">
        <f t="shared" si="1"/>
        <v>3451</v>
      </c>
      <c r="P9" s="3">
        <f t="shared" si="1"/>
        <v>885</v>
      </c>
      <c r="Q9" s="3">
        <f t="shared" si="2"/>
        <v>4336</v>
      </c>
      <c r="R9" s="3">
        <f t="shared" si="3"/>
        <v>7.7003676144133264</v>
      </c>
      <c r="S9" s="3">
        <f t="shared" si="4"/>
        <v>2.2996323855866736</v>
      </c>
    </row>
    <row r="10" spans="1:19" x14ac:dyDescent="0.3">
      <c r="A10" s="3">
        <v>7</v>
      </c>
      <c r="B10" s="3">
        <v>166</v>
      </c>
      <c r="C10" s="3">
        <v>86</v>
      </c>
      <c r="D10" s="3">
        <v>50</v>
      </c>
      <c r="E10" s="3">
        <v>45</v>
      </c>
      <c r="F10" s="3">
        <v>25</v>
      </c>
      <c r="G10" s="3">
        <v>9</v>
      </c>
      <c r="H10" s="3">
        <v>5</v>
      </c>
      <c r="I10" s="3">
        <v>4</v>
      </c>
      <c r="J10" s="3">
        <v>2</v>
      </c>
      <c r="K10" s="3">
        <f t="shared" si="5"/>
        <v>392</v>
      </c>
      <c r="L10" s="3">
        <f t="shared" si="0"/>
        <v>226</v>
      </c>
      <c r="M10" s="3">
        <v>8</v>
      </c>
      <c r="N10" s="3">
        <v>2</v>
      </c>
      <c r="O10" s="3">
        <f t="shared" si="1"/>
        <v>3136</v>
      </c>
      <c r="P10" s="3">
        <f t="shared" si="1"/>
        <v>452</v>
      </c>
      <c r="Q10" s="3">
        <f t="shared" si="2"/>
        <v>3588</v>
      </c>
      <c r="R10" s="3">
        <f t="shared" si="3"/>
        <v>6.3719831643254192</v>
      </c>
      <c r="S10" s="3">
        <f t="shared" si="4"/>
        <v>3.6280168356745808</v>
      </c>
    </row>
    <row r="11" spans="1:19" x14ac:dyDescent="0.3">
      <c r="A11" s="3">
        <v>8</v>
      </c>
      <c r="B11" s="3">
        <v>255</v>
      </c>
      <c r="C11" s="3">
        <v>100</v>
      </c>
      <c r="D11" s="3">
        <v>90</v>
      </c>
      <c r="E11" s="3">
        <v>40</v>
      </c>
      <c r="F11" s="3">
        <v>28</v>
      </c>
      <c r="G11" s="3">
        <v>10</v>
      </c>
      <c r="H11" s="3">
        <v>5</v>
      </c>
      <c r="I11" s="3">
        <v>5</v>
      </c>
      <c r="J11" s="3">
        <v>2</v>
      </c>
      <c r="K11" s="3">
        <f t="shared" si="5"/>
        <v>535</v>
      </c>
      <c r="L11" s="3">
        <f t="shared" si="0"/>
        <v>280</v>
      </c>
      <c r="M11" s="3">
        <v>9</v>
      </c>
      <c r="N11" s="3">
        <v>1</v>
      </c>
      <c r="O11" s="3">
        <f t="shared" si="1"/>
        <v>4815</v>
      </c>
      <c r="P11" s="3">
        <f t="shared" si="1"/>
        <v>280</v>
      </c>
      <c r="Q11" s="3">
        <f t="shared" si="2"/>
        <v>5095</v>
      </c>
      <c r="R11" s="3">
        <f t="shared" si="3"/>
        <v>9.048287129943704</v>
      </c>
      <c r="S11" s="3">
        <f t="shared" si="4"/>
        <v>0.95171287005629601</v>
      </c>
    </row>
    <row r="12" spans="1:19" x14ac:dyDescent="0.3">
      <c r="A12" s="3">
        <v>9</v>
      </c>
      <c r="B12" s="3">
        <v>132</v>
      </c>
      <c r="C12" s="3">
        <v>85</v>
      </c>
      <c r="D12" s="3">
        <v>40</v>
      </c>
      <c r="E12" s="3">
        <v>20</v>
      </c>
      <c r="F12" s="3">
        <v>8</v>
      </c>
      <c r="G12" s="3">
        <v>6</v>
      </c>
      <c r="H12" s="3">
        <v>2</v>
      </c>
      <c r="I12" s="3">
        <v>2</v>
      </c>
      <c r="J12" s="3">
        <v>2</v>
      </c>
      <c r="K12" s="3">
        <f t="shared" si="5"/>
        <v>297</v>
      </c>
      <c r="L12" s="3">
        <f t="shared" si="0"/>
        <v>165</v>
      </c>
      <c r="M12" s="3">
        <v>10</v>
      </c>
      <c r="N12" s="3">
        <v>0</v>
      </c>
      <c r="O12" s="3">
        <f t="shared" si="1"/>
        <v>2970</v>
      </c>
      <c r="P12" s="3">
        <f t="shared" si="1"/>
        <v>0</v>
      </c>
      <c r="Q12" s="3">
        <f t="shared" si="2"/>
        <v>2970</v>
      </c>
      <c r="R12" s="3">
        <f t="shared" si="3"/>
        <v>5.2744676694666923</v>
      </c>
      <c r="S12" s="3">
        <f t="shared" si="4"/>
        <v>4.7255323305333077</v>
      </c>
    </row>
    <row r="13" spans="1:19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f>SUM(Q3:Q12)</f>
        <v>56309</v>
      </c>
      <c r="R13" s="3"/>
      <c r="S13" s="3">
        <f>SUM(S3:S12)</f>
        <v>39.433127919160341</v>
      </c>
    </row>
    <row r="16" spans="1:19" x14ac:dyDescent="0.3">
      <c r="C16" s="7"/>
      <c r="J16" s="4" t="s">
        <v>33</v>
      </c>
      <c r="K16" s="4">
        <f>S13/2</f>
        <v>19.716563959580171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EF54-9EA7-44AF-B1AB-DFAAFFF05E85}">
  <dimension ref="A2:AD60"/>
  <sheetViews>
    <sheetView topLeftCell="A73" workbookViewId="0">
      <selection activeCell="D4" sqref="D4:F20"/>
    </sheetView>
  </sheetViews>
  <sheetFormatPr defaultRowHeight="14.4" x14ac:dyDescent="0.3"/>
  <sheetData>
    <row r="2" spans="1:30" x14ac:dyDescent="0.3">
      <c r="B2" t="s">
        <v>1</v>
      </c>
      <c r="E2" t="s">
        <v>34</v>
      </c>
    </row>
    <row r="3" spans="1:30" x14ac:dyDescent="0.3">
      <c r="A3" s="4" t="s">
        <v>35</v>
      </c>
      <c r="B3" s="4">
        <v>2011</v>
      </c>
      <c r="C3" s="4">
        <v>2021</v>
      </c>
      <c r="D3" s="4"/>
      <c r="E3" s="4">
        <v>2001</v>
      </c>
      <c r="F3" s="4">
        <v>2011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">
      <c r="A4" t="s">
        <v>36</v>
      </c>
      <c r="B4">
        <v>195300</v>
      </c>
      <c r="C4">
        <v>200000</v>
      </c>
      <c r="D4" s="8" t="s">
        <v>36</v>
      </c>
      <c r="E4">
        <f>-(B4/$B$21)*100</f>
        <v>-9.309362558916396</v>
      </c>
      <c r="F4">
        <f>(C4/$C$21)*100</f>
        <v>9.3471484186961664</v>
      </c>
    </row>
    <row r="5" spans="1:30" x14ac:dyDescent="0.3">
      <c r="A5" s="9" t="s">
        <v>37</v>
      </c>
      <c r="B5">
        <v>180700</v>
      </c>
      <c r="C5">
        <v>185000</v>
      </c>
      <c r="D5" s="8" t="s">
        <v>37</v>
      </c>
      <c r="E5">
        <f t="shared" ref="E5:E20" si="0">-(B5/$B$21)*100</f>
        <v>-8.6134245488796353</v>
      </c>
      <c r="F5">
        <f t="shared" ref="F5:F20" si="1">(C5/$C$21)*100</f>
        <v>8.6461122872939544</v>
      </c>
    </row>
    <row r="6" spans="1:30" x14ac:dyDescent="0.3">
      <c r="A6" s="9" t="s">
        <v>38</v>
      </c>
      <c r="B6">
        <v>165400</v>
      </c>
      <c r="C6">
        <v>170090</v>
      </c>
      <c r="D6" s="8" t="s">
        <v>38</v>
      </c>
      <c r="E6">
        <f t="shared" si="0"/>
        <v>-7.8841196479507003</v>
      </c>
      <c r="F6">
        <f t="shared" si="1"/>
        <v>7.9492823726801536</v>
      </c>
    </row>
    <row r="7" spans="1:30" x14ac:dyDescent="0.3">
      <c r="A7" t="s">
        <v>39</v>
      </c>
      <c r="B7">
        <v>155200</v>
      </c>
      <c r="C7">
        <v>165000</v>
      </c>
      <c r="D7" s="8" t="s">
        <v>39</v>
      </c>
      <c r="E7">
        <f t="shared" si="0"/>
        <v>-7.3979163806647446</v>
      </c>
      <c r="F7">
        <f t="shared" si="1"/>
        <v>7.7113974454243364</v>
      </c>
    </row>
    <row r="8" spans="1:30" x14ac:dyDescent="0.3">
      <c r="A8" t="s">
        <v>40</v>
      </c>
      <c r="B8">
        <v>148400</v>
      </c>
      <c r="C8">
        <v>150400</v>
      </c>
      <c r="D8" s="8" t="s">
        <v>40</v>
      </c>
      <c r="E8">
        <f t="shared" si="0"/>
        <v>-7.0737808691407738</v>
      </c>
      <c r="F8">
        <f t="shared" si="1"/>
        <v>7.0290556108595164</v>
      </c>
    </row>
    <row r="9" spans="1:30" x14ac:dyDescent="0.3">
      <c r="A9" t="s">
        <v>41</v>
      </c>
      <c r="B9">
        <v>143300</v>
      </c>
      <c r="C9">
        <v>145000</v>
      </c>
      <c r="D9" s="8" t="s">
        <v>41</v>
      </c>
      <c r="E9">
        <f t="shared" si="0"/>
        <v>-6.8306792354977954</v>
      </c>
      <c r="F9">
        <f t="shared" si="1"/>
        <v>6.776682603554721</v>
      </c>
    </row>
    <row r="10" spans="1:30" x14ac:dyDescent="0.3">
      <c r="A10" t="s">
        <v>42</v>
      </c>
      <c r="B10">
        <v>140100</v>
      </c>
      <c r="C10">
        <v>140600</v>
      </c>
      <c r="D10" s="8" t="s">
        <v>42</v>
      </c>
      <c r="E10">
        <f t="shared" si="0"/>
        <v>-6.6781448771335743</v>
      </c>
      <c r="F10">
        <f t="shared" si="1"/>
        <v>6.5710453383434047</v>
      </c>
    </row>
    <row r="11" spans="1:30" x14ac:dyDescent="0.3">
      <c r="A11" t="s">
        <v>43</v>
      </c>
      <c r="B11">
        <v>137200</v>
      </c>
      <c r="C11">
        <v>135800</v>
      </c>
      <c r="D11" s="8" t="s">
        <v>43</v>
      </c>
      <c r="E11">
        <f t="shared" si="0"/>
        <v>-6.5399106148659989</v>
      </c>
      <c r="F11">
        <f t="shared" si="1"/>
        <v>6.3467137762946964</v>
      </c>
    </row>
    <row r="12" spans="1:30" x14ac:dyDescent="0.3">
      <c r="A12" t="s">
        <v>44</v>
      </c>
      <c r="B12">
        <v>130200</v>
      </c>
      <c r="C12">
        <v>130800</v>
      </c>
      <c r="D12" s="8" t="s">
        <v>44</v>
      </c>
      <c r="E12">
        <f t="shared" si="0"/>
        <v>-6.2062417059442643</v>
      </c>
      <c r="F12">
        <f t="shared" si="1"/>
        <v>6.1130350658272929</v>
      </c>
    </row>
    <row r="13" spans="1:30" x14ac:dyDescent="0.3">
      <c r="A13" t="s">
        <v>45</v>
      </c>
      <c r="B13">
        <v>123700</v>
      </c>
      <c r="C13">
        <v>125000</v>
      </c>
      <c r="D13" s="8" t="s">
        <v>45</v>
      </c>
      <c r="E13">
        <f t="shared" si="0"/>
        <v>-5.8964062905169392</v>
      </c>
      <c r="F13">
        <f t="shared" si="1"/>
        <v>5.8419677616851038</v>
      </c>
    </row>
    <row r="14" spans="1:30" x14ac:dyDescent="0.3">
      <c r="A14" t="s">
        <v>46</v>
      </c>
      <c r="B14">
        <v>114700</v>
      </c>
      <c r="C14">
        <v>115600</v>
      </c>
      <c r="D14" s="8" t="s">
        <v>46</v>
      </c>
      <c r="E14">
        <f t="shared" si="0"/>
        <v>-5.4674034076175655</v>
      </c>
      <c r="F14">
        <f t="shared" si="1"/>
        <v>5.4026517860063841</v>
      </c>
    </row>
    <row r="15" spans="1:30" x14ac:dyDescent="0.3">
      <c r="A15" t="s">
        <v>47</v>
      </c>
      <c r="B15">
        <v>110800</v>
      </c>
      <c r="C15">
        <v>113400</v>
      </c>
      <c r="D15" s="8" t="s">
        <v>47</v>
      </c>
      <c r="E15">
        <f t="shared" si="0"/>
        <v>-5.281502158361171</v>
      </c>
      <c r="F15">
        <f t="shared" si="1"/>
        <v>5.2998331534007264</v>
      </c>
    </row>
    <row r="16" spans="1:30" x14ac:dyDescent="0.3">
      <c r="A16" t="s">
        <v>48</v>
      </c>
      <c r="B16">
        <v>93750</v>
      </c>
      <c r="C16">
        <v>96500</v>
      </c>
      <c r="D16" s="8" t="s">
        <v>48</v>
      </c>
      <c r="E16">
        <f t="shared" si="0"/>
        <v>-4.4687800302018026</v>
      </c>
      <c r="F16">
        <f t="shared" si="1"/>
        <v>4.5099991120208998</v>
      </c>
    </row>
    <row r="17" spans="1:9" x14ac:dyDescent="0.3">
      <c r="A17" t="s">
        <v>49</v>
      </c>
      <c r="B17">
        <v>84782</v>
      </c>
      <c r="C17">
        <v>85700</v>
      </c>
      <c r="D17" s="8" t="s">
        <v>49</v>
      </c>
      <c r="E17">
        <f t="shared" si="0"/>
        <v>-4.0413024908860722</v>
      </c>
      <c r="F17">
        <f t="shared" si="1"/>
        <v>4.0052530974113072</v>
      </c>
    </row>
    <row r="18" spans="1:9" x14ac:dyDescent="0.3">
      <c r="A18" t="s">
        <v>50</v>
      </c>
      <c r="B18">
        <v>73856</v>
      </c>
      <c r="C18">
        <v>75300</v>
      </c>
      <c r="D18" s="8" t="s">
        <v>50</v>
      </c>
      <c r="E18">
        <f t="shared" si="0"/>
        <v>-3.5204929910462335</v>
      </c>
      <c r="F18">
        <f t="shared" si="1"/>
        <v>3.5192013796391066</v>
      </c>
    </row>
    <row r="19" spans="1:9" x14ac:dyDescent="0.3">
      <c r="A19" t="s">
        <v>51</v>
      </c>
      <c r="B19">
        <v>56500</v>
      </c>
      <c r="C19">
        <v>60000</v>
      </c>
      <c r="D19" s="8" t="s">
        <v>51</v>
      </c>
      <c r="E19">
        <f t="shared" si="0"/>
        <v>-2.6931847648682865</v>
      </c>
      <c r="F19">
        <f t="shared" si="1"/>
        <v>2.8041445256088497</v>
      </c>
    </row>
    <row r="20" spans="1:9" x14ac:dyDescent="0.3">
      <c r="A20" t="s">
        <v>52</v>
      </c>
      <c r="B20">
        <v>44000</v>
      </c>
      <c r="C20">
        <v>45500</v>
      </c>
      <c r="D20" s="8" t="s">
        <v>52</v>
      </c>
      <c r="E20">
        <f t="shared" si="0"/>
        <v>-2.0973474275080459</v>
      </c>
      <c r="F20">
        <f t="shared" si="1"/>
        <v>2.1264762652533777</v>
      </c>
    </row>
    <row r="21" spans="1:9" x14ac:dyDescent="0.3">
      <c r="A21" t="s">
        <v>53</v>
      </c>
      <c r="B21">
        <f>SUM(B4:B20)</f>
        <v>2097888</v>
      </c>
      <c r="C21">
        <f>SUM(C4:C20)</f>
        <v>2139690</v>
      </c>
      <c r="E21">
        <f>SUM(E4:E20)</f>
        <v>-100</v>
      </c>
      <c r="F21">
        <f>SUM(F4:F20)</f>
        <v>100.00000000000001</v>
      </c>
    </row>
    <row r="25" spans="1:9" x14ac:dyDescent="0.3">
      <c r="A25" t="s">
        <v>54</v>
      </c>
    </row>
    <row r="26" spans="1:9" x14ac:dyDescent="0.3">
      <c r="A26" t="s">
        <v>55</v>
      </c>
    </row>
    <row r="27" spans="1:9" x14ac:dyDescent="0.3">
      <c r="A27" t="s">
        <v>56</v>
      </c>
    </row>
    <row r="28" spans="1:9" x14ac:dyDescent="0.3">
      <c r="A28" t="s">
        <v>57</v>
      </c>
    </row>
    <row r="29" spans="1:9" x14ac:dyDescent="0.3">
      <c r="A29" t="s">
        <v>58</v>
      </c>
      <c r="H29" s="10" t="s">
        <v>59</v>
      </c>
      <c r="I29" s="10">
        <f>B21</f>
        <v>2097888</v>
      </c>
    </row>
    <row r="30" spans="1:9" x14ac:dyDescent="0.3">
      <c r="H30" s="10" t="s">
        <v>60</v>
      </c>
      <c r="I30" s="10">
        <f>C21</f>
        <v>2139690</v>
      </c>
    </row>
    <row r="31" spans="1:9" x14ac:dyDescent="0.3">
      <c r="A31" s="11" t="s">
        <v>61</v>
      </c>
      <c r="H31" s="10" t="s">
        <v>62</v>
      </c>
      <c r="I31" s="10">
        <v>10</v>
      </c>
    </row>
    <row r="32" spans="1:9" x14ac:dyDescent="0.3">
      <c r="A32" s="28" t="s">
        <v>63</v>
      </c>
      <c r="B32" s="28"/>
      <c r="C32" s="28"/>
    </row>
    <row r="33" spans="1:5" x14ac:dyDescent="0.3">
      <c r="D33" s="3" t="s">
        <v>64</v>
      </c>
      <c r="E33" s="3">
        <f>(I30-I29)/(I29*I31)</f>
        <v>1.9925753901066214E-3</v>
      </c>
    </row>
    <row r="34" spans="1:5" x14ac:dyDescent="0.3">
      <c r="D34" s="8"/>
      <c r="E34" s="8"/>
    </row>
    <row r="35" spans="1:5" x14ac:dyDescent="0.3">
      <c r="A35" s="28" t="s">
        <v>65</v>
      </c>
      <c r="B35" s="28"/>
      <c r="C35" s="28"/>
      <c r="D35" s="8"/>
      <c r="E35" s="8"/>
    </row>
    <row r="36" spans="1:5" x14ac:dyDescent="0.3">
      <c r="D36" s="3" t="s">
        <v>64</v>
      </c>
      <c r="E36" s="3">
        <f>((I30/I29)^(1/I31))-1</f>
        <v>1.974931047853179E-3</v>
      </c>
    </row>
    <row r="37" spans="1:5" x14ac:dyDescent="0.3">
      <c r="D37" s="8"/>
      <c r="E37" s="8"/>
    </row>
    <row r="38" spans="1:5" x14ac:dyDescent="0.3">
      <c r="A38" s="28" t="s">
        <v>66</v>
      </c>
      <c r="B38" s="28"/>
      <c r="C38" s="28"/>
      <c r="D38" s="8"/>
      <c r="E38" s="8"/>
    </row>
    <row r="39" spans="1:5" x14ac:dyDescent="0.3">
      <c r="D39" s="3" t="s">
        <v>64</v>
      </c>
      <c r="E39" s="3">
        <f>(1/I31)*LN(I30/I29)</f>
        <v>1.9729834353765427E-3</v>
      </c>
    </row>
    <row r="41" spans="1:5" x14ac:dyDescent="0.3">
      <c r="A41" s="11" t="s">
        <v>67</v>
      </c>
    </row>
    <row r="42" spans="1:5" x14ac:dyDescent="0.3">
      <c r="A42" s="28" t="s">
        <v>63</v>
      </c>
      <c r="B42" s="28"/>
      <c r="C42" s="28"/>
    </row>
    <row r="43" spans="1:5" x14ac:dyDescent="0.3">
      <c r="D43" s="3" t="s">
        <v>62</v>
      </c>
      <c r="E43" s="3">
        <f>1/E33</f>
        <v>501.86306875269128</v>
      </c>
    </row>
    <row r="44" spans="1:5" x14ac:dyDescent="0.3">
      <c r="D44" s="10"/>
      <c r="E44" s="10"/>
    </row>
    <row r="45" spans="1:5" x14ac:dyDescent="0.3">
      <c r="A45" s="28" t="s">
        <v>65</v>
      </c>
      <c r="B45" s="28"/>
      <c r="C45" s="28"/>
      <c r="D45" s="10"/>
      <c r="E45" s="10"/>
    </row>
    <row r="46" spans="1:5" x14ac:dyDescent="0.3">
      <c r="A46" s="10"/>
      <c r="B46" s="10"/>
      <c r="C46" s="10"/>
      <c r="D46" s="3" t="s">
        <v>62</v>
      </c>
      <c r="E46" s="3">
        <f>LN(2)/LN(1+E36)</f>
        <v>351.3193107106008</v>
      </c>
    </row>
    <row r="47" spans="1:5" x14ac:dyDescent="0.3">
      <c r="D47" s="10"/>
      <c r="E47" s="10"/>
    </row>
    <row r="48" spans="1:5" x14ac:dyDescent="0.3">
      <c r="A48" s="28" t="s">
        <v>66</v>
      </c>
      <c r="B48" s="28"/>
      <c r="C48" s="28"/>
      <c r="D48" s="10"/>
      <c r="E48" s="10"/>
    </row>
    <row r="49" spans="1:9" x14ac:dyDescent="0.3">
      <c r="D49" s="3" t="s">
        <v>62</v>
      </c>
      <c r="E49" s="3">
        <f>LN(2)/E39</f>
        <v>351.31931071061354</v>
      </c>
    </row>
    <row r="50" spans="1:9" x14ac:dyDescent="0.3">
      <c r="A50" s="28"/>
      <c r="B50" s="28"/>
      <c r="C50" s="28"/>
    </row>
    <row r="51" spans="1:9" x14ac:dyDescent="0.3">
      <c r="A51" s="11" t="s">
        <v>68</v>
      </c>
    </row>
    <row r="52" spans="1:9" x14ac:dyDescent="0.3">
      <c r="A52" s="28" t="s">
        <v>63</v>
      </c>
      <c r="B52" s="28"/>
      <c r="C52" s="28"/>
    </row>
    <row r="53" spans="1:9" x14ac:dyDescent="0.3">
      <c r="D53" s="3" t="s">
        <v>69</v>
      </c>
      <c r="E53" s="3">
        <f>I29*(1+E33*I53)</f>
        <v>2223294</v>
      </c>
      <c r="F53" s="3"/>
      <c r="G53" s="3"/>
      <c r="H53" s="3" t="s">
        <v>62</v>
      </c>
      <c r="I53" s="3">
        <v>30</v>
      </c>
    </row>
    <row r="54" spans="1:9" x14ac:dyDescent="0.3">
      <c r="D54" s="3" t="s">
        <v>70</v>
      </c>
      <c r="E54" s="3">
        <f>I29*(1+E33*I54)</f>
        <v>2260915.7999999998</v>
      </c>
      <c r="F54" s="3"/>
      <c r="G54" s="3"/>
      <c r="H54" s="3" t="s">
        <v>62</v>
      </c>
      <c r="I54" s="3">
        <v>39</v>
      </c>
    </row>
    <row r="55" spans="1:9" x14ac:dyDescent="0.3">
      <c r="A55" s="28" t="s">
        <v>65</v>
      </c>
      <c r="B55" s="28"/>
      <c r="C55" s="28"/>
    </row>
    <row r="56" spans="1:9" x14ac:dyDescent="0.3">
      <c r="D56" s="3" t="s">
        <v>69</v>
      </c>
      <c r="E56" s="3">
        <f>I29*(1+E36)^I53</f>
        <v>2225809.4059787365</v>
      </c>
    </row>
    <row r="57" spans="1:9" x14ac:dyDescent="0.3">
      <c r="D57" s="3" t="s">
        <v>70</v>
      </c>
      <c r="E57" s="3">
        <f>I29*(1+E36)^I54</f>
        <v>2265685.7632743791</v>
      </c>
    </row>
    <row r="58" spans="1:9" x14ac:dyDescent="0.3">
      <c r="A58" s="28" t="s">
        <v>66</v>
      </c>
      <c r="B58" s="28"/>
      <c r="C58" s="28"/>
      <c r="D58" s="10"/>
      <c r="E58" s="10"/>
    </row>
    <row r="59" spans="1:9" x14ac:dyDescent="0.3">
      <c r="D59" s="3" t="s">
        <v>69</v>
      </c>
      <c r="E59" s="3">
        <f>I29*EXP(E39*I53)</f>
        <v>2225809.4059787327</v>
      </c>
    </row>
    <row r="60" spans="1:9" x14ac:dyDescent="0.3">
      <c r="D60" s="3" t="s">
        <v>70</v>
      </c>
      <c r="E60" s="3">
        <f>I29*EXP(E39*I54)</f>
        <v>2265685.7632743744</v>
      </c>
    </row>
  </sheetData>
  <mergeCells count="10">
    <mergeCell ref="A50:C50"/>
    <mergeCell ref="A52:C52"/>
    <mergeCell ref="A55:C55"/>
    <mergeCell ref="A58:C58"/>
    <mergeCell ref="A32:C32"/>
    <mergeCell ref="A35:C35"/>
    <mergeCell ref="A38:C38"/>
    <mergeCell ref="A42:C42"/>
    <mergeCell ref="A45:C45"/>
    <mergeCell ref="A48:C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CBA-B570-4EC1-94B4-A56AC6C5BF0D}">
  <dimension ref="D4:K19"/>
  <sheetViews>
    <sheetView workbookViewId="0">
      <selection activeCell="D4" sqref="D4"/>
    </sheetView>
  </sheetViews>
  <sheetFormatPr defaultRowHeight="14.4" x14ac:dyDescent="0.3"/>
  <cols>
    <col min="4" max="4" width="10.77734375" customWidth="1"/>
    <col min="5" max="5" width="11.5546875" customWidth="1"/>
    <col min="6" max="6" width="9.88671875" customWidth="1"/>
    <col min="7" max="7" width="10.88671875" customWidth="1"/>
    <col min="8" max="8" width="11.6640625" customWidth="1"/>
    <col min="9" max="9" width="11" customWidth="1"/>
    <col min="10" max="10" width="13.44140625" customWidth="1"/>
    <col min="11" max="11" width="13.88671875" customWidth="1"/>
  </cols>
  <sheetData>
    <row r="4" spans="4:11" x14ac:dyDescent="0.3">
      <c r="D4" s="3" t="s">
        <v>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76</v>
      </c>
      <c r="K4" s="3" t="s">
        <v>77</v>
      </c>
    </row>
    <row r="5" spans="4:11" x14ac:dyDescent="0.3">
      <c r="D5" s="3" t="s">
        <v>39</v>
      </c>
      <c r="E5" s="3">
        <v>4704852</v>
      </c>
      <c r="F5" s="3">
        <v>148505</v>
      </c>
      <c r="G5" s="3">
        <f>F5/E5</f>
        <v>3.1564223486732421E-2</v>
      </c>
      <c r="H5" s="12">
        <f>F5/2.08</f>
        <v>71396.63461538461</v>
      </c>
      <c r="I5" s="3">
        <f>H5/E5</f>
        <v>1.5175107445544431E-2</v>
      </c>
      <c r="J5" s="3">
        <v>0.98</v>
      </c>
      <c r="K5" s="3">
        <f>I5*J5</f>
        <v>1.4871605296633542E-2</v>
      </c>
    </row>
    <row r="6" spans="4:11" x14ac:dyDescent="0.3">
      <c r="D6" s="3" t="s">
        <v>40</v>
      </c>
      <c r="E6" s="3">
        <v>5037627</v>
      </c>
      <c r="F6" s="3">
        <v>855994</v>
      </c>
      <c r="G6" s="3">
        <f t="shared" ref="G6:G11" si="0">F6/E6</f>
        <v>0.16992008340434892</v>
      </c>
      <c r="H6" s="12">
        <f t="shared" ref="H6:H11" si="1">F6/2.08</f>
        <v>411535.57692307694</v>
      </c>
      <c r="I6" s="3">
        <f t="shared" ref="I6:I11" si="2">H6/E6</f>
        <v>8.1692347790552358E-2</v>
      </c>
      <c r="J6" s="3">
        <v>0.97699999999999998</v>
      </c>
      <c r="K6" s="3">
        <f t="shared" ref="K6:K11" si="3">I6*J6</f>
        <v>7.9813423791369659E-2</v>
      </c>
    </row>
    <row r="7" spans="4:11" x14ac:dyDescent="0.3">
      <c r="D7" s="3" t="s">
        <v>41</v>
      </c>
      <c r="E7" s="3">
        <v>4962900</v>
      </c>
      <c r="F7" s="3">
        <v>1027579</v>
      </c>
      <c r="G7" s="3">
        <f t="shared" si="0"/>
        <v>0.20705212678071289</v>
      </c>
      <c r="H7" s="12">
        <f t="shared" si="1"/>
        <v>494028.36538461538</v>
      </c>
      <c r="I7" s="3">
        <f t="shared" si="2"/>
        <v>9.9544291721496578E-2</v>
      </c>
      <c r="J7" s="3">
        <v>0.97399999999999998</v>
      </c>
      <c r="K7" s="3">
        <f t="shared" si="3"/>
        <v>9.6956140136737659E-2</v>
      </c>
    </row>
    <row r="8" spans="4:11" x14ac:dyDescent="0.3">
      <c r="D8" s="3" t="s">
        <v>42</v>
      </c>
      <c r="E8" s="3">
        <v>3321030</v>
      </c>
      <c r="F8" s="3">
        <v>501110</v>
      </c>
      <c r="G8" s="3">
        <f t="shared" si="0"/>
        <v>0.15088993474915915</v>
      </c>
      <c r="H8" s="12">
        <f t="shared" si="1"/>
        <v>240918.26923076922</v>
      </c>
      <c r="I8" s="3">
        <f t="shared" si="2"/>
        <v>7.2543237860172666E-2</v>
      </c>
      <c r="J8" s="3">
        <v>0.97</v>
      </c>
      <c r="K8" s="3">
        <f t="shared" si="3"/>
        <v>7.0366940724367485E-2</v>
      </c>
    </row>
    <row r="9" spans="4:11" x14ac:dyDescent="0.3">
      <c r="D9" s="3" t="s">
        <v>78</v>
      </c>
      <c r="E9" s="3">
        <v>2798413</v>
      </c>
      <c r="F9" s="3">
        <v>222705</v>
      </c>
      <c r="G9" s="3">
        <f t="shared" si="0"/>
        <v>7.9582606284347587E-2</v>
      </c>
      <c r="H9" s="12">
        <f t="shared" si="1"/>
        <v>107069.71153846153</v>
      </c>
      <c r="I9" s="3">
        <f t="shared" si="2"/>
        <v>3.8260868405936344E-2</v>
      </c>
      <c r="J9" s="3">
        <v>0.96599999999999997</v>
      </c>
      <c r="K9" s="3">
        <f t="shared" si="3"/>
        <v>3.6959998880134508E-2</v>
      </c>
    </row>
    <row r="10" spans="4:11" x14ac:dyDescent="0.3">
      <c r="D10" s="3" t="s">
        <v>44</v>
      </c>
      <c r="E10" s="3">
        <v>2224489</v>
      </c>
      <c r="F10" s="3">
        <v>61040</v>
      </c>
      <c r="G10" s="3">
        <f t="shared" si="0"/>
        <v>2.7440009817985164E-2</v>
      </c>
      <c r="H10" s="12">
        <f t="shared" si="1"/>
        <v>29346.153846153844</v>
      </c>
      <c r="I10" s="3">
        <f t="shared" si="2"/>
        <v>1.3192312412492866E-2</v>
      </c>
      <c r="J10" s="3">
        <v>0.95899999999999996</v>
      </c>
      <c r="K10" s="3">
        <f t="shared" si="3"/>
        <v>1.2651427603580657E-2</v>
      </c>
    </row>
    <row r="11" spans="4:11" x14ac:dyDescent="0.3">
      <c r="D11" s="3" t="s">
        <v>45</v>
      </c>
      <c r="E11" s="3">
        <v>1678304</v>
      </c>
      <c r="F11" s="3">
        <v>4934</v>
      </c>
      <c r="G11" s="3">
        <f t="shared" si="0"/>
        <v>2.9398726333250708E-3</v>
      </c>
      <c r="H11" s="12">
        <f t="shared" si="1"/>
        <v>2372.1153846153848</v>
      </c>
      <c r="I11" s="3">
        <f t="shared" si="2"/>
        <v>1.4134003044832073E-3</v>
      </c>
      <c r="J11" s="3">
        <v>0.94799999999999995</v>
      </c>
      <c r="K11" s="3">
        <f t="shared" si="3"/>
        <v>1.3399034886500804E-3</v>
      </c>
    </row>
    <row r="12" spans="4:11" x14ac:dyDescent="0.3">
      <c r="D12" s="3" t="s">
        <v>9</v>
      </c>
      <c r="E12" s="3">
        <f>SUM(E5:E11)</f>
        <v>24727615</v>
      </c>
      <c r="F12" s="3">
        <f t="shared" ref="F12:J12" si="4">SUM(F5:F11)</f>
        <v>2821867</v>
      </c>
      <c r="G12" s="3">
        <f t="shared" si="4"/>
        <v>0.66938885715661112</v>
      </c>
      <c r="H12" s="12">
        <f t="shared" si="4"/>
        <v>1356666.826923077</v>
      </c>
      <c r="I12" s="3">
        <f t="shared" si="4"/>
        <v>0.32182156594067846</v>
      </c>
      <c r="J12" s="3">
        <f t="shared" si="4"/>
        <v>6.7739999999999991</v>
      </c>
      <c r="K12" s="3">
        <f>SUM(K5:K11)</f>
        <v>0.31295943992147363</v>
      </c>
    </row>
    <row r="16" spans="4:11" x14ac:dyDescent="0.3">
      <c r="F16" s="3" t="s">
        <v>79</v>
      </c>
      <c r="G16" s="3">
        <f>(F12/E12)*1000</f>
        <v>114.11804171166527</v>
      </c>
    </row>
    <row r="17" spans="6:7" x14ac:dyDescent="0.3">
      <c r="F17" s="3" t="s">
        <v>80</v>
      </c>
      <c r="G17" s="3">
        <f>5*G12</f>
        <v>3.3469442857830556</v>
      </c>
    </row>
    <row r="18" spans="6:7" x14ac:dyDescent="0.3">
      <c r="F18" s="3" t="s">
        <v>81</v>
      </c>
      <c r="G18" s="3">
        <f>5*I12</f>
        <v>1.6091078297033923</v>
      </c>
    </row>
    <row r="19" spans="6:7" x14ac:dyDescent="0.3">
      <c r="F19" s="3" t="s">
        <v>82</v>
      </c>
      <c r="G19" s="3">
        <f>5*K12</f>
        <v>1.5647971996073682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8E5A-CAD0-4950-8180-894AD3456379}">
  <dimension ref="B2:J25"/>
  <sheetViews>
    <sheetView workbookViewId="0">
      <selection activeCell="K6" sqref="K6"/>
    </sheetView>
  </sheetViews>
  <sheetFormatPr defaultRowHeight="14.4" x14ac:dyDescent="0.3"/>
  <cols>
    <col min="6" max="6" width="14.5546875" customWidth="1"/>
    <col min="10" max="10" width="16.21875" customWidth="1"/>
  </cols>
  <sheetData>
    <row r="2" spans="2:10" ht="15.6" x14ac:dyDescent="0.3">
      <c r="B2" s="29" t="s">
        <v>0</v>
      </c>
      <c r="C2" s="29" t="s">
        <v>83</v>
      </c>
      <c r="D2" s="29"/>
      <c r="E2" s="29" t="s">
        <v>84</v>
      </c>
      <c r="F2" s="29"/>
      <c r="G2" s="29" t="s">
        <v>85</v>
      </c>
      <c r="H2" s="29"/>
      <c r="I2" s="13"/>
      <c r="J2" s="13"/>
    </row>
    <row r="3" spans="2:10" ht="31.2" x14ac:dyDescent="0.3">
      <c r="B3" s="29"/>
      <c r="C3" s="2" t="s">
        <v>1</v>
      </c>
      <c r="D3" s="2" t="s">
        <v>86</v>
      </c>
      <c r="E3" s="2" t="s">
        <v>1</v>
      </c>
      <c r="F3" s="2" t="s">
        <v>86</v>
      </c>
      <c r="G3" s="2" t="s">
        <v>87</v>
      </c>
      <c r="H3" s="2" t="s">
        <v>84</v>
      </c>
      <c r="I3" s="2" t="s">
        <v>88</v>
      </c>
      <c r="J3" s="2" t="s">
        <v>89</v>
      </c>
    </row>
    <row r="4" spans="2:10" ht="15.6" x14ac:dyDescent="0.3">
      <c r="B4" s="2" t="s">
        <v>36</v>
      </c>
      <c r="C4" s="2">
        <v>442532</v>
      </c>
      <c r="D4" s="2">
        <v>18623</v>
      </c>
      <c r="E4" s="2">
        <v>434980</v>
      </c>
      <c r="F4" s="2">
        <v>17308</v>
      </c>
      <c r="G4" s="2"/>
      <c r="H4" s="2" t="s">
        <v>90</v>
      </c>
      <c r="I4" s="3"/>
      <c r="J4" s="3"/>
    </row>
    <row r="5" spans="2:10" ht="15.6" x14ac:dyDescent="0.3">
      <c r="B5" s="14">
        <v>45421</v>
      </c>
      <c r="C5" s="2">
        <v>419042</v>
      </c>
      <c r="D5" s="2">
        <v>1809</v>
      </c>
      <c r="E5" s="2">
        <v>416736</v>
      </c>
      <c r="F5" s="2">
        <v>1709</v>
      </c>
      <c r="G5" s="2"/>
      <c r="H5" s="2" t="s">
        <v>90</v>
      </c>
      <c r="I5" s="3"/>
      <c r="J5" s="3"/>
    </row>
    <row r="6" spans="2:10" ht="15.6" x14ac:dyDescent="0.3">
      <c r="B6" s="14">
        <v>45579</v>
      </c>
      <c r="C6" s="2">
        <v>393543</v>
      </c>
      <c r="D6" s="2">
        <v>948</v>
      </c>
      <c r="E6" s="2">
        <v>384616</v>
      </c>
      <c r="F6" s="2">
        <v>1638</v>
      </c>
      <c r="G6" s="2"/>
      <c r="H6" s="2" t="s">
        <v>90</v>
      </c>
      <c r="I6" s="3"/>
      <c r="J6" s="3"/>
    </row>
    <row r="7" spans="2:10" ht="15.6" x14ac:dyDescent="0.3">
      <c r="B7" s="2" t="s">
        <v>39</v>
      </c>
      <c r="C7" s="2">
        <v>308269</v>
      </c>
      <c r="D7" s="2">
        <v>1233</v>
      </c>
      <c r="E7" s="2">
        <v>314056</v>
      </c>
      <c r="F7" s="2">
        <v>1329</v>
      </c>
      <c r="G7" s="2">
        <v>3578</v>
      </c>
      <c r="H7" s="2">
        <v>3343</v>
      </c>
      <c r="I7" s="3">
        <f>(G7+H7)/E7</f>
        <v>2.2037471024275924E-2</v>
      </c>
      <c r="J7" s="3">
        <f>H7/E7</f>
        <v>1.0644598415569197E-2</v>
      </c>
    </row>
    <row r="8" spans="2:10" ht="15.6" x14ac:dyDescent="0.3">
      <c r="B8" s="2" t="s">
        <v>40</v>
      </c>
      <c r="C8" s="2">
        <v>257852</v>
      </c>
      <c r="D8" s="2">
        <v>1289</v>
      </c>
      <c r="E8" s="2">
        <v>269340</v>
      </c>
      <c r="F8" s="2">
        <v>1481</v>
      </c>
      <c r="G8" s="2">
        <v>7293</v>
      </c>
      <c r="H8" s="2">
        <v>6690</v>
      </c>
      <c r="I8" s="3">
        <f t="shared" ref="I8:I13" si="0">(G8+H8)/E8</f>
        <v>5.1915794163510803E-2</v>
      </c>
      <c r="J8" s="3">
        <f t="shared" ref="J8:J13" si="1">H8/E8</f>
        <v>2.4838494096680774E-2</v>
      </c>
    </row>
    <row r="9" spans="2:10" ht="15.6" x14ac:dyDescent="0.3">
      <c r="B9" s="2" t="s">
        <v>41</v>
      </c>
      <c r="C9" s="2">
        <v>230629</v>
      </c>
      <c r="D9" s="2">
        <v>1776</v>
      </c>
      <c r="E9" s="2">
        <v>236187</v>
      </c>
      <c r="F9" s="2">
        <v>1671</v>
      </c>
      <c r="G9" s="2">
        <v>6775</v>
      </c>
      <c r="H9" s="2">
        <v>6361</v>
      </c>
      <c r="I9" s="3">
        <f t="shared" si="0"/>
        <v>5.5616947588139905E-2</v>
      </c>
      <c r="J9" s="3">
        <f t="shared" si="1"/>
        <v>2.6932049604762327E-2</v>
      </c>
    </row>
    <row r="10" spans="2:10" ht="15.6" x14ac:dyDescent="0.3">
      <c r="B10" s="2" t="s">
        <v>42</v>
      </c>
      <c r="C10" s="2">
        <v>204188</v>
      </c>
      <c r="D10" s="2">
        <v>1633</v>
      </c>
      <c r="E10" s="2">
        <v>203477</v>
      </c>
      <c r="F10" s="2">
        <v>1665</v>
      </c>
      <c r="G10" s="2">
        <v>4233</v>
      </c>
      <c r="H10" s="2">
        <v>4187</v>
      </c>
      <c r="I10" s="3">
        <f t="shared" si="0"/>
        <v>4.1380598298579201E-2</v>
      </c>
      <c r="J10" s="3">
        <f t="shared" si="1"/>
        <v>2.0577264260825547E-2</v>
      </c>
    </row>
    <row r="11" spans="2:10" ht="15.6" x14ac:dyDescent="0.3">
      <c r="B11" s="2" t="s">
        <v>43</v>
      </c>
      <c r="C11" s="2">
        <v>182270</v>
      </c>
      <c r="D11" s="2">
        <v>1588</v>
      </c>
      <c r="E11" s="2">
        <v>176534</v>
      </c>
      <c r="F11" s="2">
        <v>1289</v>
      </c>
      <c r="G11" s="2">
        <v>2999</v>
      </c>
      <c r="H11" s="2">
        <v>2685</v>
      </c>
      <c r="I11" s="3">
        <f t="shared" si="0"/>
        <v>3.2197763603611769E-2</v>
      </c>
      <c r="J11" s="3">
        <f t="shared" si="1"/>
        <v>1.5209534707195214E-2</v>
      </c>
    </row>
    <row r="12" spans="2:10" ht="15.6" x14ac:dyDescent="0.3">
      <c r="B12" s="2" t="s">
        <v>44</v>
      </c>
      <c r="C12" s="2">
        <v>162509</v>
      </c>
      <c r="D12" s="2">
        <v>1967</v>
      </c>
      <c r="E12" s="2">
        <v>145037</v>
      </c>
      <c r="F12" s="2">
        <v>1233</v>
      </c>
      <c r="G12" s="2">
        <v>593</v>
      </c>
      <c r="H12" s="2">
        <v>725</v>
      </c>
      <c r="I12" s="3">
        <f t="shared" si="0"/>
        <v>9.087336334866275E-3</v>
      </c>
      <c r="J12" s="3">
        <f t="shared" si="1"/>
        <v>4.9987244634127842E-3</v>
      </c>
    </row>
    <row r="13" spans="2:10" ht="15.6" x14ac:dyDescent="0.3">
      <c r="B13" s="2" t="s">
        <v>45</v>
      </c>
      <c r="C13" s="2">
        <v>128784</v>
      </c>
      <c r="D13" s="2">
        <v>2138</v>
      </c>
      <c r="E13" s="2">
        <v>122946</v>
      </c>
      <c r="F13" s="2">
        <v>1352</v>
      </c>
      <c r="G13" s="2">
        <v>129</v>
      </c>
      <c r="H13" s="2">
        <v>128</v>
      </c>
      <c r="I13" s="3">
        <f t="shared" si="0"/>
        <v>2.0903486083321131E-3</v>
      </c>
      <c r="J13" s="3">
        <f t="shared" si="1"/>
        <v>1.0411074780798074E-3</v>
      </c>
    </row>
    <row r="14" spans="2:10" ht="15.6" x14ac:dyDescent="0.3">
      <c r="B14" s="2" t="s">
        <v>46</v>
      </c>
      <c r="C14" s="2">
        <v>102971</v>
      </c>
      <c r="D14" s="2">
        <v>1905</v>
      </c>
      <c r="E14" s="2">
        <v>96589</v>
      </c>
      <c r="F14" s="2">
        <v>1188</v>
      </c>
      <c r="G14" s="2" t="s">
        <v>90</v>
      </c>
      <c r="H14" s="2" t="s">
        <v>90</v>
      </c>
      <c r="I14" s="3"/>
      <c r="J14" s="3"/>
    </row>
    <row r="15" spans="2:10" ht="15.6" x14ac:dyDescent="0.3">
      <c r="B15" s="2" t="s">
        <v>47</v>
      </c>
      <c r="C15" s="2">
        <v>80717</v>
      </c>
      <c r="D15" s="2">
        <v>2478</v>
      </c>
      <c r="E15" s="2">
        <v>78311</v>
      </c>
      <c r="F15" s="2">
        <v>1605</v>
      </c>
      <c r="G15" s="2" t="s">
        <v>90</v>
      </c>
      <c r="H15" s="2" t="s">
        <v>90</v>
      </c>
      <c r="I15" s="3"/>
      <c r="J15" s="3"/>
    </row>
    <row r="16" spans="2:10" ht="15.6" x14ac:dyDescent="0.3">
      <c r="B16" s="2" t="s">
        <v>48</v>
      </c>
      <c r="C16" s="2">
        <v>58899</v>
      </c>
      <c r="D16" s="2">
        <v>3099</v>
      </c>
      <c r="E16" s="2">
        <v>58142</v>
      </c>
      <c r="F16" s="2">
        <v>1980</v>
      </c>
      <c r="G16" s="2" t="s">
        <v>90</v>
      </c>
      <c r="H16" s="2" t="s">
        <v>90</v>
      </c>
      <c r="I16" s="3"/>
      <c r="J16" s="3"/>
    </row>
    <row r="17" spans="2:10" ht="15.6" x14ac:dyDescent="0.3">
      <c r="B17" s="2" t="s">
        <v>49</v>
      </c>
      <c r="C17" s="2">
        <v>37797</v>
      </c>
      <c r="D17" s="2">
        <v>2428</v>
      </c>
      <c r="E17" s="2">
        <v>39049</v>
      </c>
      <c r="F17" s="2">
        <v>2468</v>
      </c>
      <c r="G17" s="2" t="s">
        <v>90</v>
      </c>
      <c r="H17" s="2" t="s">
        <v>90</v>
      </c>
      <c r="I17" s="3"/>
      <c r="J17" s="3"/>
    </row>
    <row r="18" spans="2:10" ht="15.6" x14ac:dyDescent="0.3">
      <c r="B18" s="2" t="s">
        <v>91</v>
      </c>
      <c r="C18" s="2">
        <v>45099</v>
      </c>
      <c r="D18" s="2">
        <v>5981</v>
      </c>
      <c r="E18" s="2">
        <v>48866</v>
      </c>
      <c r="F18" s="2">
        <v>7175</v>
      </c>
      <c r="G18" s="2" t="s">
        <v>90</v>
      </c>
      <c r="H18" s="2" t="s">
        <v>90</v>
      </c>
      <c r="I18" s="3"/>
      <c r="J18" s="3"/>
    </row>
    <row r="19" spans="2:10" ht="15.6" x14ac:dyDescent="0.3">
      <c r="B19" s="2" t="s">
        <v>9</v>
      </c>
      <c r="C19" s="2">
        <f>SUM(C4:C18)</f>
        <v>3055101</v>
      </c>
      <c r="D19" s="2">
        <f t="shared" ref="D19:F19" si="2">SUM(D4:D18)</f>
        <v>48895</v>
      </c>
      <c r="E19" s="2">
        <f t="shared" si="2"/>
        <v>3024866</v>
      </c>
      <c r="F19" s="2">
        <f t="shared" si="2"/>
        <v>45091</v>
      </c>
      <c r="G19" s="2">
        <f>SUM(G4:G18)</f>
        <v>25600</v>
      </c>
      <c r="H19" s="2">
        <f t="shared" ref="H19:J19" si="3">SUM(H4:H18)</f>
        <v>24119</v>
      </c>
      <c r="I19" s="2">
        <f t="shared" si="3"/>
        <v>0.21432625962131599</v>
      </c>
      <c r="J19" s="2">
        <f t="shared" si="3"/>
        <v>0.10424177302652565</v>
      </c>
    </row>
    <row r="22" spans="2:10" x14ac:dyDescent="0.3">
      <c r="F22" s="3" t="s">
        <v>92</v>
      </c>
      <c r="G22" s="13"/>
      <c r="H22" s="13"/>
      <c r="I22" s="3" t="s">
        <v>93</v>
      </c>
      <c r="J22" s="13"/>
    </row>
    <row r="23" spans="2:10" ht="18" x14ac:dyDescent="0.35">
      <c r="F23" s="15" t="s">
        <v>94</v>
      </c>
      <c r="G23" s="15">
        <f>(D19/C19)*1000</f>
        <v>16.004380869895957</v>
      </c>
      <c r="H23" s="13"/>
      <c r="I23" s="15" t="s">
        <v>79</v>
      </c>
      <c r="J23" s="15">
        <f>((G19+H19)/(SUM(E7:E13)))*1000</f>
        <v>33.878290542847154</v>
      </c>
    </row>
    <row r="24" spans="2:10" ht="18" x14ac:dyDescent="0.35">
      <c r="F24" s="15" t="s">
        <v>95</v>
      </c>
      <c r="G24" s="15">
        <f>(F19/E19)*1000</f>
        <v>14.906776035698773</v>
      </c>
      <c r="H24" s="13"/>
      <c r="I24" s="15" t="s">
        <v>80</v>
      </c>
      <c r="J24" s="15">
        <f>5*I19</f>
        <v>1.0716312981065799</v>
      </c>
    </row>
    <row r="25" spans="2:10" ht="18" x14ac:dyDescent="0.35">
      <c r="F25" s="13"/>
      <c r="G25" s="13"/>
      <c r="H25" s="13"/>
      <c r="I25" s="15" t="s">
        <v>81</v>
      </c>
      <c r="J25" s="15">
        <f>5*J19</f>
        <v>0.52120886513262832</v>
      </c>
    </row>
  </sheetData>
  <mergeCells count="4">
    <mergeCell ref="B2:B3"/>
    <mergeCell ref="C2:D2"/>
    <mergeCell ref="E2:F2"/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C3D3-442E-4ECF-878D-85F9B623508B}">
  <dimension ref="B2:G17"/>
  <sheetViews>
    <sheetView workbookViewId="0">
      <selection activeCell="G16" sqref="G16"/>
    </sheetView>
  </sheetViews>
  <sheetFormatPr defaultRowHeight="14.4" x14ac:dyDescent="0.3"/>
  <cols>
    <col min="4" max="4" width="19.88671875" customWidth="1"/>
    <col min="5" max="5" width="25.44140625" customWidth="1"/>
  </cols>
  <sheetData>
    <row r="2" spans="2:7" x14ac:dyDescent="0.3">
      <c r="B2" s="3" t="s">
        <v>96</v>
      </c>
      <c r="C2" s="3" t="s">
        <v>97</v>
      </c>
      <c r="D2" s="3" t="s">
        <v>98</v>
      </c>
      <c r="E2" s="3" t="s">
        <v>99</v>
      </c>
      <c r="F2" s="10"/>
    </row>
    <row r="3" spans="2:7" x14ac:dyDescent="0.3">
      <c r="B3" s="3">
        <v>1</v>
      </c>
      <c r="C3" s="3" t="s">
        <v>38</v>
      </c>
      <c r="D3" s="3">
        <v>110</v>
      </c>
      <c r="E3" s="3">
        <v>104</v>
      </c>
      <c r="F3" s="10"/>
    </row>
    <row r="4" spans="2:7" x14ac:dyDescent="0.3">
      <c r="B4" s="3">
        <v>2</v>
      </c>
      <c r="C4" s="3" t="s">
        <v>39</v>
      </c>
      <c r="D4" s="3">
        <v>102</v>
      </c>
      <c r="E4" s="3">
        <v>54</v>
      </c>
      <c r="F4" s="10"/>
    </row>
    <row r="5" spans="2:7" x14ac:dyDescent="0.3">
      <c r="B5" s="3">
        <v>3</v>
      </c>
      <c r="C5" s="3" t="s">
        <v>40</v>
      </c>
      <c r="D5" s="3">
        <v>72</v>
      </c>
      <c r="E5" s="3">
        <v>22</v>
      </c>
      <c r="F5" s="10"/>
    </row>
    <row r="6" spans="2:7" x14ac:dyDescent="0.3">
      <c r="B6" s="3">
        <v>4</v>
      </c>
      <c r="C6" s="3" t="s">
        <v>41</v>
      </c>
      <c r="D6" s="3">
        <v>32</v>
      </c>
      <c r="E6" s="3">
        <v>7</v>
      </c>
      <c r="F6" s="10"/>
    </row>
    <row r="7" spans="2:7" x14ac:dyDescent="0.3">
      <c r="B7" s="3">
        <v>5</v>
      </c>
      <c r="C7" s="3" t="s">
        <v>42</v>
      </c>
      <c r="D7" s="3">
        <v>16</v>
      </c>
      <c r="E7" s="3">
        <v>4</v>
      </c>
      <c r="F7" s="10"/>
    </row>
    <row r="8" spans="2:7" x14ac:dyDescent="0.3">
      <c r="B8" s="3">
        <v>6</v>
      </c>
      <c r="C8" s="3" t="s">
        <v>43</v>
      </c>
      <c r="D8" s="3">
        <v>12</v>
      </c>
      <c r="E8" s="3">
        <v>2</v>
      </c>
      <c r="F8" s="10"/>
    </row>
    <row r="9" spans="2:7" x14ac:dyDescent="0.3">
      <c r="B9" s="3">
        <v>7</v>
      </c>
      <c r="C9" s="3" t="s">
        <v>44</v>
      </c>
      <c r="D9" s="3">
        <v>9</v>
      </c>
      <c r="E9" s="3">
        <v>1</v>
      </c>
      <c r="F9" s="10"/>
    </row>
    <row r="10" spans="2:7" x14ac:dyDescent="0.3">
      <c r="B10" s="3">
        <v>8</v>
      </c>
      <c r="C10" s="3" t="s">
        <v>45</v>
      </c>
      <c r="D10" s="3">
        <v>4</v>
      </c>
      <c r="E10" s="3">
        <v>0.5</v>
      </c>
      <c r="F10" s="10"/>
    </row>
    <row r="11" spans="2:7" x14ac:dyDescent="0.3">
      <c r="B11" s="3">
        <v>9</v>
      </c>
      <c r="C11" s="3" t="s">
        <v>46</v>
      </c>
      <c r="D11" s="3">
        <v>0.3</v>
      </c>
      <c r="E11" s="3">
        <v>0.1</v>
      </c>
      <c r="F11" s="10"/>
    </row>
    <row r="12" spans="2:7" x14ac:dyDescent="0.3">
      <c r="B12" s="3" t="s">
        <v>9</v>
      </c>
      <c r="C12" s="3"/>
      <c r="D12" s="3">
        <f>SUM(D3:D11)</f>
        <v>357.3</v>
      </c>
      <c r="E12" s="3">
        <f>SUM(E3:E11)</f>
        <v>194.6</v>
      </c>
      <c r="F12" s="10"/>
    </row>
    <row r="14" spans="2:7" x14ac:dyDescent="0.3">
      <c r="F14" s="11" t="s">
        <v>100</v>
      </c>
      <c r="G14" s="11">
        <f>100*10</f>
        <v>1000</v>
      </c>
    </row>
    <row r="16" spans="2:7" x14ac:dyDescent="0.3">
      <c r="E16" s="3" t="s">
        <v>101</v>
      </c>
      <c r="F16" s="10"/>
      <c r="G16" s="3">
        <f>(((G14+5*D12-50*((D10+D11)/2))/(100-((D10+D11)/2))))</f>
        <v>27.378640776699029</v>
      </c>
    </row>
    <row r="17" spans="5:7" x14ac:dyDescent="0.3">
      <c r="E17" s="3" t="s">
        <v>102</v>
      </c>
      <c r="F17" s="10"/>
      <c r="G17" s="3">
        <f>((G14+5*E12-50*((E10+E11)/2))/(100-((E10+E11)/2)))</f>
        <v>19.63891675025075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B601-A01E-4438-BDCB-F3D7D3B87345}">
  <dimension ref="C3:I17"/>
  <sheetViews>
    <sheetView workbookViewId="0">
      <selection activeCell="I12" sqref="I12"/>
    </sheetView>
  </sheetViews>
  <sheetFormatPr defaultRowHeight="14.4" x14ac:dyDescent="0.3"/>
  <sheetData>
    <row r="3" spans="3:9" x14ac:dyDescent="0.3">
      <c r="C3" s="31" t="s">
        <v>103</v>
      </c>
      <c r="D3" s="31"/>
      <c r="E3" s="31"/>
      <c r="F3" s="31"/>
      <c r="G3" s="16">
        <v>89.9</v>
      </c>
    </row>
    <row r="4" spans="3:9" x14ac:dyDescent="0.3">
      <c r="C4" s="31" t="s">
        <v>104</v>
      </c>
      <c r="D4" s="31"/>
      <c r="E4" s="31"/>
      <c r="F4" s="31"/>
      <c r="G4" s="16">
        <v>111.45</v>
      </c>
    </row>
    <row r="5" spans="3:9" x14ac:dyDescent="0.3">
      <c r="C5" s="31" t="s">
        <v>105</v>
      </c>
      <c r="D5" s="31"/>
      <c r="E5" s="31"/>
      <c r="F5" s="31"/>
      <c r="G5" s="16">
        <f>2001-1991</f>
        <v>10</v>
      </c>
    </row>
    <row r="10" spans="3:9" x14ac:dyDescent="0.3">
      <c r="D10" s="30" t="s">
        <v>106</v>
      </c>
      <c r="E10" s="30"/>
      <c r="H10" s="30" t="s">
        <v>107</v>
      </c>
      <c r="I10" s="30"/>
    </row>
    <row r="11" spans="3:9" x14ac:dyDescent="0.3">
      <c r="D11" s="17" t="s">
        <v>64</v>
      </c>
      <c r="E11" s="17">
        <f>(G4-G3)/(G5*G3)</f>
        <v>2.3971078976640709E-2</v>
      </c>
      <c r="H11" s="17" t="s">
        <v>64</v>
      </c>
      <c r="I11" s="17">
        <f>((G4/G3)^(1/G5))-1</f>
        <v>2.1720337365876752E-2</v>
      </c>
    </row>
    <row r="12" spans="3:9" x14ac:dyDescent="0.3">
      <c r="D12" s="18"/>
      <c r="E12" s="19"/>
      <c r="H12" s="17" t="s">
        <v>62</v>
      </c>
      <c r="I12" s="17">
        <f>LOG(2)/LOG(I11+1)</f>
        <v>32.257690353423683</v>
      </c>
    </row>
    <row r="13" spans="3:9" x14ac:dyDescent="0.3">
      <c r="D13" s="20" t="s">
        <v>62</v>
      </c>
      <c r="E13" s="20">
        <f>1/E11</f>
        <v>41.716937354988403</v>
      </c>
    </row>
    <row r="15" spans="3:9" x14ac:dyDescent="0.3">
      <c r="E15" s="30" t="s">
        <v>108</v>
      </c>
      <c r="F15" s="30"/>
      <c r="G15" s="30"/>
      <c r="H15" s="30"/>
    </row>
    <row r="16" spans="3:9" x14ac:dyDescent="0.3">
      <c r="F16" s="17" t="s">
        <v>64</v>
      </c>
      <c r="G16" s="17">
        <f>(LN(G4/G3))/G5</f>
        <v>2.1487811835430321E-2</v>
      </c>
    </row>
    <row r="17" spans="6:7" x14ac:dyDescent="0.3">
      <c r="F17" s="17" t="s">
        <v>62</v>
      </c>
      <c r="G17" s="17">
        <f>LN(2)/G16</f>
        <v>32.257690353423747</v>
      </c>
    </row>
  </sheetData>
  <mergeCells count="6">
    <mergeCell ref="E15:H15"/>
    <mergeCell ref="C3:F3"/>
    <mergeCell ref="C4:F4"/>
    <mergeCell ref="C5:F5"/>
    <mergeCell ref="D10:E10"/>
    <mergeCell ref="H10:I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3CF7-4737-412A-80F8-6E9E67B184A0}">
  <dimension ref="B3:T17"/>
  <sheetViews>
    <sheetView workbookViewId="0">
      <selection activeCell="D4" sqref="D4"/>
    </sheetView>
  </sheetViews>
  <sheetFormatPr defaultRowHeight="14.4" x14ac:dyDescent="0.3"/>
  <cols>
    <col min="5" max="5" width="8.5546875" bestFit="1" customWidth="1"/>
  </cols>
  <sheetData>
    <row r="3" spans="2:20" x14ac:dyDescent="0.3">
      <c r="B3" s="4"/>
      <c r="C3" s="3" t="s">
        <v>0</v>
      </c>
      <c r="D3" s="3" t="s">
        <v>109</v>
      </c>
      <c r="E3" s="3" t="s">
        <v>110</v>
      </c>
      <c r="F3" s="3" t="s">
        <v>111</v>
      </c>
      <c r="G3" s="3" t="s">
        <v>112</v>
      </c>
      <c r="H3" s="3" t="s">
        <v>113</v>
      </c>
      <c r="I3" s="4"/>
      <c r="J3" s="3" t="s">
        <v>0</v>
      </c>
      <c r="K3" s="3" t="s">
        <v>110</v>
      </c>
      <c r="L3" s="4"/>
      <c r="M3" s="4"/>
      <c r="N3" s="4"/>
      <c r="O3" s="4"/>
      <c r="P3" s="4"/>
      <c r="Q3" s="4"/>
      <c r="R3" s="4"/>
      <c r="S3" s="4"/>
      <c r="T3" s="4"/>
    </row>
    <row r="4" spans="2:20" ht="15.6" x14ac:dyDescent="0.3">
      <c r="C4" s="2" t="s">
        <v>39</v>
      </c>
      <c r="D4" s="2">
        <v>17.5</v>
      </c>
      <c r="E4" s="2">
        <v>6.3E-2</v>
      </c>
      <c r="F4" s="2">
        <v>0.78800000000000003</v>
      </c>
      <c r="G4" s="3">
        <f>E4*F4</f>
        <v>4.9644000000000001E-2</v>
      </c>
      <c r="H4" s="3">
        <f>D4*G4</f>
        <v>0.86877000000000004</v>
      </c>
      <c r="J4" s="2" t="s">
        <v>39</v>
      </c>
      <c r="K4" s="2">
        <v>6.3E-2</v>
      </c>
    </row>
    <row r="5" spans="2:20" ht="15.6" x14ac:dyDescent="0.3">
      <c r="C5" s="2" t="s">
        <v>40</v>
      </c>
      <c r="D5" s="2">
        <v>22.5</v>
      </c>
      <c r="E5" s="2">
        <v>0.13200000000000001</v>
      </c>
      <c r="F5" s="2">
        <v>0.77800000000000002</v>
      </c>
      <c r="G5" s="3">
        <f t="shared" ref="G5:G10" si="0">E5*F5</f>
        <v>0.10269600000000001</v>
      </c>
      <c r="H5" s="3">
        <f t="shared" ref="H5:H10" si="1">D5*G5</f>
        <v>2.3106600000000004</v>
      </c>
      <c r="J5" s="2" t="s">
        <v>40</v>
      </c>
      <c r="K5" s="2">
        <v>0.13200000000000001</v>
      </c>
    </row>
    <row r="6" spans="2:20" ht="15.6" x14ac:dyDescent="0.3">
      <c r="C6" s="2" t="s">
        <v>41</v>
      </c>
      <c r="D6" s="2">
        <v>27.5</v>
      </c>
      <c r="E6" s="2">
        <v>0.128</v>
      </c>
      <c r="F6" s="2">
        <v>0.748</v>
      </c>
      <c r="G6" s="3">
        <f t="shared" si="0"/>
        <v>9.5743999999999996E-2</v>
      </c>
      <c r="H6" s="3">
        <f t="shared" si="1"/>
        <v>2.6329599999999997</v>
      </c>
      <c r="J6" s="2" t="s">
        <v>41</v>
      </c>
      <c r="K6" s="2">
        <v>0.128</v>
      </c>
    </row>
    <row r="7" spans="2:20" ht="15.6" x14ac:dyDescent="0.3">
      <c r="C7" s="2" t="s">
        <v>42</v>
      </c>
      <c r="D7" s="2">
        <v>32.5</v>
      </c>
      <c r="E7" s="2">
        <v>0.11</v>
      </c>
      <c r="F7" s="2">
        <v>0.72299999999999998</v>
      </c>
      <c r="G7" s="3">
        <f t="shared" si="0"/>
        <v>7.9530000000000003E-2</v>
      </c>
      <c r="H7" s="3">
        <f t="shared" si="1"/>
        <v>2.5847250000000002</v>
      </c>
      <c r="J7" s="2" t="s">
        <v>42</v>
      </c>
      <c r="K7" s="2">
        <v>0.11</v>
      </c>
    </row>
    <row r="8" spans="2:20" ht="15.6" x14ac:dyDescent="0.3">
      <c r="C8" s="2" t="s">
        <v>43</v>
      </c>
      <c r="D8" s="2">
        <v>37.5</v>
      </c>
      <c r="E8" s="2">
        <v>0.08</v>
      </c>
      <c r="F8" s="2">
        <v>0.69799999999999995</v>
      </c>
      <c r="G8" s="3">
        <f t="shared" si="0"/>
        <v>5.5840000000000001E-2</v>
      </c>
      <c r="H8" s="3">
        <f t="shared" si="1"/>
        <v>2.0939999999999999</v>
      </c>
      <c r="J8" s="2" t="s">
        <v>43</v>
      </c>
      <c r="K8" s="2">
        <v>0.08</v>
      </c>
    </row>
    <row r="9" spans="2:20" ht="15.6" x14ac:dyDescent="0.3">
      <c r="C9" s="2" t="s">
        <v>44</v>
      </c>
      <c r="D9" s="2">
        <v>42.5</v>
      </c>
      <c r="E9" s="2">
        <v>4.4999999999999998E-2</v>
      </c>
      <c r="F9" s="2">
        <v>0.66800000000000004</v>
      </c>
      <c r="G9" s="3">
        <f t="shared" si="0"/>
        <v>3.006E-2</v>
      </c>
      <c r="H9" s="3">
        <f t="shared" si="1"/>
        <v>1.27755</v>
      </c>
      <c r="J9" s="2" t="s">
        <v>44</v>
      </c>
      <c r="K9" s="2">
        <v>4.4999999999999998E-2</v>
      </c>
    </row>
    <row r="10" spans="2:20" ht="15.6" x14ac:dyDescent="0.3">
      <c r="C10" s="2" t="s">
        <v>45</v>
      </c>
      <c r="D10" s="2">
        <v>47.5</v>
      </c>
      <c r="E10" s="2">
        <v>7.0000000000000001E-3</v>
      </c>
      <c r="F10" s="2">
        <v>0.63500000000000001</v>
      </c>
      <c r="G10" s="3">
        <f t="shared" si="0"/>
        <v>4.4450000000000002E-3</v>
      </c>
      <c r="H10" s="3">
        <f t="shared" si="1"/>
        <v>0.21113750000000001</v>
      </c>
      <c r="J10" s="2" t="s">
        <v>45</v>
      </c>
      <c r="K10" s="2">
        <v>7.0000000000000001E-3</v>
      </c>
    </row>
    <row r="11" spans="2:20" ht="15.6" x14ac:dyDescent="0.3">
      <c r="B11" s="4"/>
      <c r="C11" s="2" t="s">
        <v>9</v>
      </c>
      <c r="D11" s="2"/>
      <c r="E11" s="3">
        <f>SUM(E4:E10)</f>
        <v>0.56500000000000006</v>
      </c>
      <c r="F11" s="3">
        <f>SUM(F4:F10)</f>
        <v>5.0379999999999994</v>
      </c>
      <c r="G11" s="3">
        <f t="shared" ref="G11:H11" si="2">SUM(G4:G10)</f>
        <v>0.41795899999999997</v>
      </c>
      <c r="H11" s="3">
        <f t="shared" si="2"/>
        <v>11.9798025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5" spans="2:20" ht="18" x14ac:dyDescent="0.35">
      <c r="F15" s="15" t="s">
        <v>81</v>
      </c>
      <c r="G15" s="15">
        <f>5*E11</f>
        <v>2.8250000000000002</v>
      </c>
    </row>
    <row r="16" spans="2:20" ht="18" x14ac:dyDescent="0.35">
      <c r="F16" s="15" t="s">
        <v>82</v>
      </c>
      <c r="G16" s="15">
        <f>5*G11</f>
        <v>2.0897949999999996</v>
      </c>
    </row>
    <row r="17" spans="6:7" ht="18" x14ac:dyDescent="0.35">
      <c r="F17" s="15" t="s">
        <v>114</v>
      </c>
      <c r="G17" s="15">
        <f>(5*H11)/(5*G11)</f>
        <v>28.662625999200884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28F0-895D-4972-A893-84EA1A8B8043}">
  <dimension ref="B2:Q24"/>
  <sheetViews>
    <sheetView workbookViewId="0">
      <selection activeCell="M5" sqref="M5"/>
    </sheetView>
  </sheetViews>
  <sheetFormatPr defaultRowHeight="14.4" x14ac:dyDescent="0.3"/>
  <sheetData>
    <row r="2" spans="2:17" x14ac:dyDescent="0.3">
      <c r="C2" s="9"/>
    </row>
    <row r="3" spans="2:17" ht="15.6" x14ac:dyDescent="0.35">
      <c r="B3" s="4"/>
      <c r="C3" s="21" t="s">
        <v>115</v>
      </c>
      <c r="D3" s="3" t="s">
        <v>116</v>
      </c>
      <c r="E3" s="3" t="s">
        <v>117</v>
      </c>
      <c r="F3" s="3" t="s">
        <v>118</v>
      </c>
      <c r="G3" s="3" t="s">
        <v>119</v>
      </c>
      <c r="H3" s="3" t="s">
        <v>120</v>
      </c>
      <c r="I3" s="3" t="s">
        <v>121</v>
      </c>
      <c r="J3" s="4"/>
      <c r="K3" s="21" t="s">
        <v>115</v>
      </c>
      <c r="L3" s="3" t="s">
        <v>116</v>
      </c>
      <c r="M3" s="34" t="s">
        <v>143</v>
      </c>
      <c r="N3" s="34" t="s">
        <v>144</v>
      </c>
      <c r="O3" s="34" t="s">
        <v>145</v>
      </c>
      <c r="P3" s="34" t="s">
        <v>146</v>
      </c>
      <c r="Q3" s="34" t="s">
        <v>147</v>
      </c>
    </row>
    <row r="4" spans="2:17" ht="15.6" x14ac:dyDescent="0.3">
      <c r="C4" s="22">
        <v>0</v>
      </c>
      <c r="D4" s="2">
        <v>0.08</v>
      </c>
      <c r="E4" s="3">
        <v>100000</v>
      </c>
      <c r="F4" s="3">
        <f>E4*L4</f>
        <v>8000</v>
      </c>
      <c r="G4" s="3">
        <f>E4-(F4/2)</f>
        <v>96000</v>
      </c>
      <c r="H4" s="3">
        <f>SUM(G4:G$22)</f>
        <v>1482532.2248452234</v>
      </c>
      <c r="I4" s="3">
        <f>H4/E4</f>
        <v>14.825322248452233</v>
      </c>
      <c r="K4" s="22">
        <v>0</v>
      </c>
      <c r="L4" s="2">
        <v>0.08</v>
      </c>
      <c r="M4">
        <v>100000</v>
      </c>
      <c r="N4">
        <f>M4*L4</f>
        <v>8000</v>
      </c>
      <c r="O4">
        <f>M4-N4/2</f>
        <v>96000</v>
      </c>
      <c r="P4">
        <f>SUM(O4:$O$22)</f>
        <v>1482532.2248452234</v>
      </c>
      <c r="Q4">
        <f>P4/M4</f>
        <v>14.825322248452233</v>
      </c>
    </row>
    <row r="5" spans="2:17" ht="15.6" x14ac:dyDescent="0.3">
      <c r="C5" s="22">
        <v>1</v>
      </c>
      <c r="D5" s="2">
        <v>1.4E-2</v>
      </c>
      <c r="E5" s="3">
        <f>E4-F4</f>
        <v>92000</v>
      </c>
      <c r="F5" s="3">
        <f>E5*L5</f>
        <v>1288</v>
      </c>
      <c r="G5" s="3">
        <f t="shared" ref="G5:G23" si="0">E5-(F5/2)</f>
        <v>91356</v>
      </c>
      <c r="H5" s="3">
        <f>SUM(G5:G$22)</f>
        <v>1386532.2248452234</v>
      </c>
      <c r="I5" s="3">
        <f t="shared" ref="I5:I23" si="1">H5/E5</f>
        <v>15.071002443969819</v>
      </c>
      <c r="K5" s="22">
        <v>1</v>
      </c>
      <c r="L5" s="2">
        <v>1.4E-2</v>
      </c>
      <c r="M5">
        <f>M4-N4</f>
        <v>92000</v>
      </c>
      <c r="N5">
        <f t="shared" ref="N5:N23" si="2">M5*L5</f>
        <v>1288</v>
      </c>
      <c r="O5">
        <f t="shared" ref="O5:O23" si="3">M5-N5/2</f>
        <v>91356</v>
      </c>
      <c r="P5">
        <f>SUM(O5:$O$22)</f>
        <v>1386532.2248452234</v>
      </c>
      <c r="Q5">
        <f t="shared" ref="Q5:Q23" si="4">P5/M5</f>
        <v>15.071002443969819</v>
      </c>
    </row>
    <row r="6" spans="2:17" ht="15.6" x14ac:dyDescent="0.3">
      <c r="C6" s="22">
        <v>2</v>
      </c>
      <c r="D6" s="2">
        <v>1.2999999999999999E-2</v>
      </c>
      <c r="E6" s="3">
        <f>E5-F5</f>
        <v>90712</v>
      </c>
      <c r="F6" s="12">
        <f>E6*L6</f>
        <v>1179.2559999999999</v>
      </c>
      <c r="G6" s="3">
        <f t="shared" si="0"/>
        <v>90122.372000000003</v>
      </c>
      <c r="H6" s="3">
        <f>SUM(G6:G$22)</f>
        <v>1295176.2248452234</v>
      </c>
      <c r="I6" s="3">
        <f t="shared" si="1"/>
        <v>14.277892945202657</v>
      </c>
      <c r="K6" s="22">
        <v>2</v>
      </c>
      <c r="L6" s="2">
        <v>1.2999999999999999E-2</v>
      </c>
      <c r="M6">
        <f t="shared" ref="M6:M23" si="5">M5-N5</f>
        <v>90712</v>
      </c>
      <c r="N6">
        <f t="shared" si="2"/>
        <v>1179.2559999999999</v>
      </c>
      <c r="O6">
        <f t="shared" si="3"/>
        <v>90122.372000000003</v>
      </c>
      <c r="P6">
        <f>SUM(O6:$O$22)</f>
        <v>1295176.2248452234</v>
      </c>
      <c r="Q6">
        <f t="shared" si="4"/>
        <v>14.277892945202657</v>
      </c>
    </row>
    <row r="7" spans="2:17" ht="15.6" x14ac:dyDescent="0.3">
      <c r="C7" s="22">
        <v>3</v>
      </c>
      <c r="D7" s="2">
        <v>1.2E-2</v>
      </c>
      <c r="E7" s="12">
        <f>E6-F6</f>
        <v>89532.744000000006</v>
      </c>
      <c r="F7" s="12">
        <f>E7*L7</f>
        <v>1074.392928</v>
      </c>
      <c r="G7" s="3">
        <f t="shared" si="0"/>
        <v>88995.547536000013</v>
      </c>
      <c r="H7" s="3">
        <f>SUM(G7:G$22)</f>
        <v>1205053.8528452234</v>
      </c>
      <c r="I7" s="3">
        <f t="shared" si="1"/>
        <v>13.459364686122244</v>
      </c>
      <c r="K7" s="22">
        <v>3</v>
      </c>
      <c r="L7" s="2">
        <v>1.2E-2</v>
      </c>
      <c r="M7">
        <f t="shared" si="5"/>
        <v>89532.744000000006</v>
      </c>
      <c r="N7">
        <f t="shared" si="2"/>
        <v>1074.392928</v>
      </c>
      <c r="O7">
        <f t="shared" si="3"/>
        <v>88995.547536000013</v>
      </c>
      <c r="P7">
        <f>SUM(O7:$O$22)</f>
        <v>1205053.8528452234</v>
      </c>
      <c r="Q7">
        <f t="shared" si="4"/>
        <v>13.459364686122244</v>
      </c>
    </row>
    <row r="8" spans="2:17" ht="15.6" x14ac:dyDescent="0.3">
      <c r="C8" s="22">
        <v>4</v>
      </c>
      <c r="D8" s="2">
        <v>1.0999999999999999E-2</v>
      </c>
      <c r="E8" s="12">
        <f>E7-F7</f>
        <v>88458.351072000005</v>
      </c>
      <c r="F8" s="12">
        <f>E8*L8</f>
        <v>973.04186179199996</v>
      </c>
      <c r="G8" s="3">
        <f t="shared" si="0"/>
        <v>87971.830141104001</v>
      </c>
      <c r="H8" s="3">
        <f>SUM(G8:G$22)</f>
        <v>1116058.3053092232</v>
      </c>
      <c r="I8" s="3">
        <f t="shared" si="1"/>
        <v>12.616765876641947</v>
      </c>
      <c r="K8" s="22">
        <v>4</v>
      </c>
      <c r="L8" s="2">
        <v>1.0999999999999999E-2</v>
      </c>
      <c r="M8">
        <f t="shared" si="5"/>
        <v>88458.351072000005</v>
      </c>
      <c r="N8">
        <f t="shared" si="2"/>
        <v>973.04186179199996</v>
      </c>
      <c r="O8">
        <f t="shared" si="3"/>
        <v>87971.830141104001</v>
      </c>
      <c r="P8">
        <f>SUM(O8:$O$22)</f>
        <v>1116058.3053092232</v>
      </c>
      <c r="Q8">
        <f t="shared" si="4"/>
        <v>12.616765876641947</v>
      </c>
    </row>
    <row r="9" spans="2:17" ht="15.6" x14ac:dyDescent="0.3">
      <c r="C9" s="22" t="s">
        <v>37</v>
      </c>
      <c r="D9" s="2">
        <v>1.7999999999999999E-2</v>
      </c>
      <c r="E9" s="12">
        <f>E8-F8</f>
        <v>87485.309210208012</v>
      </c>
      <c r="F9" s="12">
        <f>E9*L9</f>
        <v>1574.7355657837441</v>
      </c>
      <c r="G9" s="3">
        <f t="shared" si="0"/>
        <v>86697.941427316138</v>
      </c>
      <c r="H9" s="3">
        <f>SUM(G9:G$22)</f>
        <v>1028086.4751681192</v>
      </c>
      <c r="I9" s="3">
        <f t="shared" si="1"/>
        <v>11.751532736746153</v>
      </c>
      <c r="K9" s="22" t="s">
        <v>37</v>
      </c>
      <c r="L9" s="2">
        <v>1.7999999999999999E-2</v>
      </c>
      <c r="M9">
        <f t="shared" si="5"/>
        <v>87485.309210208012</v>
      </c>
      <c r="N9">
        <f t="shared" si="2"/>
        <v>1574.7355657837441</v>
      </c>
      <c r="O9">
        <f t="shared" si="3"/>
        <v>86697.941427316138</v>
      </c>
      <c r="P9">
        <f>SUM(O9:$O$22)</f>
        <v>1028086.4751681192</v>
      </c>
      <c r="Q9">
        <f t="shared" si="4"/>
        <v>11.751532736746153</v>
      </c>
    </row>
    <row r="10" spans="2:17" ht="15.6" x14ac:dyDescent="0.3">
      <c r="C10" s="22" t="s">
        <v>38</v>
      </c>
      <c r="D10" s="2">
        <v>6.0000000000000001E-3</v>
      </c>
      <c r="E10" s="12">
        <f t="shared" ref="E10:E23" si="6">E9-F9</f>
        <v>85910.573644424265</v>
      </c>
      <c r="F10" s="12">
        <f>E10*L10</f>
        <v>515.46344186654562</v>
      </c>
      <c r="G10" s="3">
        <f t="shared" si="0"/>
        <v>85652.841923490996</v>
      </c>
      <c r="H10" s="3">
        <f>SUM(G10:G$22)</f>
        <v>941388.53374080313</v>
      </c>
      <c r="I10" s="3">
        <f t="shared" si="1"/>
        <v>10.957772644344352</v>
      </c>
      <c r="K10" s="22" t="s">
        <v>38</v>
      </c>
      <c r="L10" s="2">
        <v>6.0000000000000001E-3</v>
      </c>
      <c r="M10">
        <f t="shared" si="5"/>
        <v>85910.573644424265</v>
      </c>
      <c r="N10">
        <f t="shared" si="2"/>
        <v>515.46344186654562</v>
      </c>
      <c r="O10">
        <f t="shared" si="3"/>
        <v>85652.841923490996</v>
      </c>
      <c r="P10">
        <f>SUM(O10:$O$22)</f>
        <v>941388.53374080313</v>
      </c>
      <c r="Q10">
        <f t="shared" si="4"/>
        <v>10.957772644344352</v>
      </c>
    </row>
    <row r="11" spans="2:17" ht="15.6" x14ac:dyDescent="0.3">
      <c r="C11" s="22" t="s">
        <v>39</v>
      </c>
      <c r="D11" s="2">
        <v>8.9999999999999993E-3</v>
      </c>
      <c r="E11" s="12">
        <f t="shared" si="6"/>
        <v>85395.110202557713</v>
      </c>
      <c r="F11" s="12">
        <f>E11*L11</f>
        <v>768.55599182301933</v>
      </c>
      <c r="G11" s="3">
        <f t="shared" si="0"/>
        <v>85010.832206646199</v>
      </c>
      <c r="H11" s="3">
        <f>SUM(G11:G$22)</f>
        <v>855735.69181731204</v>
      </c>
      <c r="I11" s="3">
        <f t="shared" si="1"/>
        <v>10.02089803253959</v>
      </c>
      <c r="K11" s="22" t="s">
        <v>39</v>
      </c>
      <c r="L11" s="2">
        <v>8.9999999999999993E-3</v>
      </c>
      <c r="M11">
        <f t="shared" si="5"/>
        <v>85395.110202557713</v>
      </c>
      <c r="N11">
        <f t="shared" si="2"/>
        <v>768.55599182301933</v>
      </c>
      <c r="O11">
        <f t="shared" si="3"/>
        <v>85010.832206646199</v>
      </c>
      <c r="P11">
        <f>SUM(O11:$O$22)</f>
        <v>855735.69181731204</v>
      </c>
      <c r="Q11">
        <f t="shared" si="4"/>
        <v>10.02089803253959</v>
      </c>
    </row>
    <row r="12" spans="2:17" ht="15.6" x14ac:dyDescent="0.3">
      <c r="C12" s="22" t="s">
        <v>40</v>
      </c>
      <c r="D12" s="2">
        <v>0.01</v>
      </c>
      <c r="E12" s="12">
        <f t="shared" si="6"/>
        <v>84626.554210734699</v>
      </c>
      <c r="F12" s="12">
        <f>E12*L12</f>
        <v>846.26554210734696</v>
      </c>
      <c r="G12" s="3">
        <f t="shared" si="0"/>
        <v>84203.421439681028</v>
      </c>
      <c r="H12" s="3">
        <f>SUM(G12:G$22)</f>
        <v>770724.85961066582</v>
      </c>
      <c r="I12" s="3">
        <f t="shared" si="1"/>
        <v>9.107364311341664</v>
      </c>
      <c r="K12" s="22" t="s">
        <v>40</v>
      </c>
      <c r="L12" s="2">
        <v>0.01</v>
      </c>
      <c r="M12">
        <f t="shared" si="5"/>
        <v>84626.554210734699</v>
      </c>
      <c r="N12">
        <f t="shared" si="2"/>
        <v>846.26554210734696</v>
      </c>
      <c r="O12">
        <f t="shared" si="3"/>
        <v>84203.421439681028</v>
      </c>
      <c r="P12">
        <f>SUM(O12:$O$22)</f>
        <v>770724.85961066582</v>
      </c>
      <c r="Q12">
        <f t="shared" si="4"/>
        <v>9.107364311341664</v>
      </c>
    </row>
    <row r="13" spans="2:17" ht="15.6" x14ac:dyDescent="0.3">
      <c r="C13" s="22" t="s">
        <v>41</v>
      </c>
      <c r="D13" s="2">
        <v>1.4E-2</v>
      </c>
      <c r="E13" s="12">
        <f t="shared" si="6"/>
        <v>83780.288668627356</v>
      </c>
      <c r="F13" s="12">
        <f>E13*L13</f>
        <v>1172.9240413607829</v>
      </c>
      <c r="G13" s="3">
        <f t="shared" si="0"/>
        <v>83193.82664794696</v>
      </c>
      <c r="H13" s="3">
        <f>SUM(G13:G$22)</f>
        <v>686521.43817098485</v>
      </c>
      <c r="I13" s="3">
        <f t="shared" si="1"/>
        <v>8.1943073851935999</v>
      </c>
      <c r="K13" s="22" t="s">
        <v>41</v>
      </c>
      <c r="L13" s="2">
        <v>1.4E-2</v>
      </c>
      <c r="M13">
        <f t="shared" si="5"/>
        <v>83780.288668627356</v>
      </c>
      <c r="N13">
        <f t="shared" si="2"/>
        <v>1172.9240413607829</v>
      </c>
      <c r="O13">
        <f t="shared" si="3"/>
        <v>83193.82664794696</v>
      </c>
      <c r="P13">
        <f>SUM(O13:$O$22)</f>
        <v>686521.43817098485</v>
      </c>
      <c r="Q13">
        <f t="shared" si="4"/>
        <v>8.1943073851935999</v>
      </c>
    </row>
    <row r="14" spans="2:17" ht="15.6" x14ac:dyDescent="0.3">
      <c r="C14" s="22" t="s">
        <v>42</v>
      </c>
      <c r="D14" s="2">
        <v>1.0999999999999999E-2</v>
      </c>
      <c r="E14" s="12">
        <f t="shared" si="6"/>
        <v>82607.364627266579</v>
      </c>
      <c r="F14" s="12">
        <f>E14*L14</f>
        <v>908.68101089993229</v>
      </c>
      <c r="G14" s="3">
        <f t="shared" si="0"/>
        <v>82153.024121816619</v>
      </c>
      <c r="H14" s="3">
        <f>SUM(G14:G$22)</f>
        <v>603327.61152303801</v>
      </c>
      <c r="I14" s="3">
        <f t="shared" si="1"/>
        <v>7.3035571857947277</v>
      </c>
      <c r="K14" s="22" t="s">
        <v>42</v>
      </c>
      <c r="L14" s="2">
        <v>1.0999999999999999E-2</v>
      </c>
      <c r="M14">
        <f t="shared" si="5"/>
        <v>82607.364627266579</v>
      </c>
      <c r="N14">
        <f t="shared" si="2"/>
        <v>908.68101089993229</v>
      </c>
      <c r="O14">
        <f t="shared" si="3"/>
        <v>82153.024121816619</v>
      </c>
      <c r="P14">
        <f>SUM(O14:$O$22)</f>
        <v>603327.61152303801</v>
      </c>
      <c r="Q14">
        <f t="shared" si="4"/>
        <v>7.3035571857947277</v>
      </c>
    </row>
    <row r="15" spans="2:17" ht="15.6" x14ac:dyDescent="0.3">
      <c r="C15" s="22" t="s">
        <v>43</v>
      </c>
      <c r="D15" s="2">
        <v>2.1000000000000001E-2</v>
      </c>
      <c r="E15" s="12">
        <f t="shared" si="6"/>
        <v>81698.683616366645</v>
      </c>
      <c r="F15" s="12">
        <f>E15*L15</f>
        <v>1715.6723559436996</v>
      </c>
      <c r="G15" s="3">
        <f t="shared" si="0"/>
        <v>80840.847438394791</v>
      </c>
      <c r="H15" s="3">
        <f>SUM(G15:G$22)</f>
        <v>521174.58740122145</v>
      </c>
      <c r="I15" s="3">
        <f t="shared" si="1"/>
        <v>6.3792287015113533</v>
      </c>
      <c r="K15" s="22" t="s">
        <v>43</v>
      </c>
      <c r="L15" s="2">
        <v>2.1000000000000001E-2</v>
      </c>
      <c r="M15">
        <f t="shared" si="5"/>
        <v>81698.683616366645</v>
      </c>
      <c r="N15">
        <f t="shared" si="2"/>
        <v>1715.6723559436996</v>
      </c>
      <c r="O15">
        <f t="shared" si="3"/>
        <v>80840.847438394791</v>
      </c>
      <c r="P15">
        <f>SUM(O15:$O$22)</f>
        <v>521174.58740122145</v>
      </c>
      <c r="Q15">
        <f t="shared" si="4"/>
        <v>6.3792287015113533</v>
      </c>
    </row>
    <row r="16" spans="2:17" ht="15.6" x14ac:dyDescent="0.3">
      <c r="C16" s="22" t="s">
        <v>44</v>
      </c>
      <c r="D16" s="2">
        <v>3.1E-2</v>
      </c>
      <c r="E16" s="12">
        <f t="shared" si="6"/>
        <v>79983.011260422951</v>
      </c>
      <c r="F16" s="12">
        <f>E16*L16</f>
        <v>2479.4733490731114</v>
      </c>
      <c r="G16" s="3">
        <f t="shared" si="0"/>
        <v>78743.274585886393</v>
      </c>
      <c r="H16" s="3">
        <f>SUM(G16:G$22)</f>
        <v>440333.7399628266</v>
      </c>
      <c r="I16" s="3">
        <f t="shared" si="1"/>
        <v>5.5053408595621578</v>
      </c>
      <c r="K16" s="22" t="s">
        <v>44</v>
      </c>
      <c r="L16" s="2">
        <v>3.1E-2</v>
      </c>
      <c r="M16">
        <f t="shared" si="5"/>
        <v>79983.011260422951</v>
      </c>
      <c r="N16">
        <f t="shared" si="2"/>
        <v>2479.4733490731114</v>
      </c>
      <c r="O16">
        <f t="shared" si="3"/>
        <v>78743.274585886393</v>
      </c>
      <c r="P16">
        <f>SUM(O16:$O$22)</f>
        <v>440333.7399628266</v>
      </c>
      <c r="Q16">
        <f t="shared" si="4"/>
        <v>5.5053408595621578</v>
      </c>
    </row>
    <row r="17" spans="3:17" ht="15.6" x14ac:dyDescent="0.3">
      <c r="C17" s="22" t="s">
        <v>45</v>
      </c>
      <c r="D17" s="2">
        <v>5.0999999999999997E-2</v>
      </c>
      <c r="E17" s="12">
        <f t="shared" si="6"/>
        <v>77503.537911349835</v>
      </c>
      <c r="F17" s="12">
        <f>E17*L17</f>
        <v>3952.6804334788412</v>
      </c>
      <c r="G17" s="3">
        <f t="shared" si="0"/>
        <v>75527.197694610411</v>
      </c>
      <c r="H17" s="3">
        <f>SUM(G17:G$22)</f>
        <v>361590.46537694026</v>
      </c>
      <c r="I17" s="3">
        <f t="shared" si="1"/>
        <v>4.665470443304601</v>
      </c>
      <c r="K17" s="22" t="s">
        <v>45</v>
      </c>
      <c r="L17" s="2">
        <v>5.0999999999999997E-2</v>
      </c>
      <c r="M17">
        <f t="shared" si="5"/>
        <v>77503.537911349835</v>
      </c>
      <c r="N17">
        <f t="shared" si="2"/>
        <v>3952.6804334788412</v>
      </c>
      <c r="O17">
        <f t="shared" si="3"/>
        <v>75527.197694610411</v>
      </c>
      <c r="P17">
        <f>SUM(O17:$O$22)</f>
        <v>361590.46537694026</v>
      </c>
      <c r="Q17">
        <f t="shared" si="4"/>
        <v>4.665470443304601</v>
      </c>
    </row>
    <row r="18" spans="3:17" ht="15.6" x14ac:dyDescent="0.3">
      <c r="C18" s="22" t="s">
        <v>46</v>
      </c>
      <c r="D18" s="2">
        <v>5.8999999999999997E-2</v>
      </c>
      <c r="E18" s="12">
        <f t="shared" si="6"/>
        <v>73550.857477870988</v>
      </c>
      <c r="F18" s="12">
        <f>E18*L18</f>
        <v>4339.5005911943881</v>
      </c>
      <c r="G18" s="3">
        <f t="shared" si="0"/>
        <v>71381.107182273787</v>
      </c>
      <c r="H18" s="3">
        <f>SUM(G18:G$22)</f>
        <v>286063.26768232981</v>
      </c>
      <c r="I18" s="3">
        <f t="shared" si="1"/>
        <v>3.8893260730290842</v>
      </c>
      <c r="K18" s="22" t="s">
        <v>46</v>
      </c>
      <c r="L18" s="2">
        <v>5.8999999999999997E-2</v>
      </c>
      <c r="M18">
        <f t="shared" si="5"/>
        <v>73550.857477870988</v>
      </c>
      <c r="N18">
        <f t="shared" si="2"/>
        <v>4339.5005911943881</v>
      </c>
      <c r="O18">
        <f t="shared" si="3"/>
        <v>71381.107182273787</v>
      </c>
      <c r="P18">
        <f>SUM(O18:$O$22)</f>
        <v>286063.26768232981</v>
      </c>
      <c r="Q18">
        <f t="shared" si="4"/>
        <v>3.8893260730290842</v>
      </c>
    </row>
    <row r="19" spans="3:17" ht="15.6" x14ac:dyDescent="0.3">
      <c r="C19" s="22" t="s">
        <v>47</v>
      </c>
      <c r="D19" s="2">
        <v>8.8999999999999996E-2</v>
      </c>
      <c r="E19" s="12">
        <f t="shared" si="6"/>
        <v>69211.3568866766</v>
      </c>
      <c r="F19" s="12">
        <f>E19*L19</f>
        <v>6159.8107629142169</v>
      </c>
      <c r="G19" s="3">
        <f t="shared" si="0"/>
        <v>66131.451505219491</v>
      </c>
      <c r="H19" s="3">
        <f>SUM(G19:G$22)</f>
        <v>214682.16050005599</v>
      </c>
      <c r="I19" s="3">
        <f t="shared" si="1"/>
        <v>3.1018342965239998</v>
      </c>
      <c r="K19" s="22" t="s">
        <v>47</v>
      </c>
      <c r="L19" s="2">
        <v>8.8999999999999996E-2</v>
      </c>
      <c r="M19">
        <f t="shared" si="5"/>
        <v>69211.3568866766</v>
      </c>
      <c r="N19">
        <f t="shared" si="2"/>
        <v>6159.8107629142169</v>
      </c>
      <c r="O19">
        <f t="shared" si="3"/>
        <v>66131.451505219491</v>
      </c>
      <c r="P19">
        <f>SUM(O19:$O$22)</f>
        <v>214682.16050005599</v>
      </c>
      <c r="Q19">
        <f t="shared" si="4"/>
        <v>3.1018342965239998</v>
      </c>
    </row>
    <row r="20" spans="3:17" ht="15.6" x14ac:dyDescent="0.3">
      <c r="C20" s="22" t="s">
        <v>48</v>
      </c>
      <c r="D20" s="2">
        <v>0.11700000000000001</v>
      </c>
      <c r="E20" s="12">
        <f t="shared" si="6"/>
        <v>63051.546123762382</v>
      </c>
      <c r="F20" s="12">
        <f>E20*L20</f>
        <v>7377.0308964801989</v>
      </c>
      <c r="G20" s="3">
        <f t="shared" si="0"/>
        <v>59363.030675522285</v>
      </c>
      <c r="H20" s="3">
        <f>SUM(G20:G$22)</f>
        <v>148550.70899483655</v>
      </c>
      <c r="I20" s="3">
        <f t="shared" si="1"/>
        <v>2.3560200840000003</v>
      </c>
      <c r="K20" s="22" t="s">
        <v>48</v>
      </c>
      <c r="L20" s="2">
        <v>0.11700000000000001</v>
      </c>
      <c r="M20">
        <f t="shared" si="5"/>
        <v>63051.546123762382</v>
      </c>
      <c r="N20">
        <f t="shared" si="2"/>
        <v>7377.0308964801989</v>
      </c>
      <c r="O20">
        <f t="shared" si="3"/>
        <v>59363.030675522285</v>
      </c>
      <c r="P20">
        <f>SUM(O20:$O$22)</f>
        <v>148550.70899483655</v>
      </c>
      <c r="Q20">
        <f t="shared" si="4"/>
        <v>2.3560200840000003</v>
      </c>
    </row>
    <row r="21" spans="3:17" ht="15.6" x14ac:dyDescent="0.3">
      <c r="C21" s="22" t="s">
        <v>49</v>
      </c>
      <c r="D21" s="2">
        <v>0.19800000000000001</v>
      </c>
      <c r="E21" s="12">
        <f t="shared" si="6"/>
        <v>55674.515227282187</v>
      </c>
      <c r="F21" s="12">
        <f>E21*L21</f>
        <v>11023.554015001873</v>
      </c>
      <c r="G21" s="3">
        <f t="shared" si="0"/>
        <v>50162.738219781248</v>
      </c>
      <c r="H21" s="3">
        <f>SUM(G21:G$22)</f>
        <v>89187.678319314233</v>
      </c>
      <c r="I21" s="3">
        <f t="shared" si="1"/>
        <v>1.6019479999999997</v>
      </c>
      <c r="K21" s="22" t="s">
        <v>49</v>
      </c>
      <c r="L21" s="2">
        <v>0.19800000000000001</v>
      </c>
      <c r="M21">
        <f t="shared" si="5"/>
        <v>55674.515227282187</v>
      </c>
      <c r="N21">
        <f t="shared" si="2"/>
        <v>11023.554015001873</v>
      </c>
      <c r="O21">
        <f t="shared" si="3"/>
        <v>50162.738219781248</v>
      </c>
      <c r="P21">
        <f>SUM(O21:$O$22)</f>
        <v>89187.678319314233</v>
      </c>
      <c r="Q21">
        <f t="shared" si="4"/>
        <v>1.6019479999999997</v>
      </c>
    </row>
    <row r="22" spans="3:17" ht="15.6" x14ac:dyDescent="0.3">
      <c r="C22" s="22" t="s">
        <v>50</v>
      </c>
      <c r="D22" s="2">
        <v>0.252</v>
      </c>
      <c r="E22" s="12">
        <f t="shared" si="6"/>
        <v>44650.961212280316</v>
      </c>
      <c r="F22" s="12">
        <f>E22*L22</f>
        <v>11252.042225494639</v>
      </c>
      <c r="G22" s="3">
        <f t="shared" si="0"/>
        <v>39024.940099532992</v>
      </c>
      <c r="H22" s="3">
        <f>SUM(G22:G$22)</f>
        <v>39024.940099532992</v>
      </c>
      <c r="I22" s="3">
        <f t="shared" si="1"/>
        <v>0.87399999999999989</v>
      </c>
      <c r="K22" s="22" t="s">
        <v>50</v>
      </c>
      <c r="L22" s="2">
        <v>0.252</v>
      </c>
      <c r="M22">
        <f t="shared" si="5"/>
        <v>44650.961212280316</v>
      </c>
      <c r="N22">
        <f t="shared" si="2"/>
        <v>11252.042225494639</v>
      </c>
      <c r="O22">
        <f t="shared" si="3"/>
        <v>39024.940099532992</v>
      </c>
      <c r="P22">
        <f>SUM(O22:$O$22)</f>
        <v>39024.940099532992</v>
      </c>
      <c r="Q22">
        <f t="shared" si="4"/>
        <v>0.87399999999999989</v>
      </c>
    </row>
    <row r="23" spans="3:17" ht="15.6" x14ac:dyDescent="0.3">
      <c r="C23" s="22" t="s">
        <v>122</v>
      </c>
      <c r="D23" s="2">
        <v>1</v>
      </c>
      <c r="E23" s="12">
        <f>E22-F22</f>
        <v>33398.918986785677</v>
      </c>
      <c r="F23" s="12">
        <f>E23*L23</f>
        <v>33398.918986785677</v>
      </c>
      <c r="G23" s="3">
        <f t="shared" si="0"/>
        <v>16699.459493392838</v>
      </c>
      <c r="H23" s="3">
        <f>SUM(G$22:G23)</f>
        <v>55724.399592925831</v>
      </c>
      <c r="I23" s="3">
        <f t="shared" si="1"/>
        <v>1.6684491978609624</v>
      </c>
      <c r="K23" s="22" t="s">
        <v>122</v>
      </c>
      <c r="L23" s="2">
        <v>1</v>
      </c>
      <c r="M23">
        <f t="shared" si="5"/>
        <v>33398.918986785677</v>
      </c>
      <c r="N23">
        <f t="shared" si="2"/>
        <v>33398.918986785677</v>
      </c>
      <c r="O23">
        <f t="shared" si="3"/>
        <v>16699.459493392838</v>
      </c>
      <c r="P23">
        <f>SUM(O$22:$O23)</f>
        <v>55724.399592925831</v>
      </c>
      <c r="Q23">
        <f t="shared" si="4"/>
        <v>1.6684491978609624</v>
      </c>
    </row>
    <row r="24" spans="3:17" x14ac:dyDescent="0.3">
      <c r="C24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C444-E429-4388-95E8-FA93DD3A700F}">
  <dimension ref="B2:G20"/>
  <sheetViews>
    <sheetView topLeftCell="A4" workbookViewId="0">
      <selection activeCell="G3" sqref="G3"/>
    </sheetView>
  </sheetViews>
  <sheetFormatPr defaultRowHeight="14.4" x14ac:dyDescent="0.3"/>
  <cols>
    <col min="3" max="3" width="11.77734375" customWidth="1"/>
    <col min="5" max="5" width="13.33203125" customWidth="1"/>
    <col min="6" max="6" width="14.77734375" customWidth="1"/>
    <col min="7" max="7" width="14.6640625" customWidth="1"/>
  </cols>
  <sheetData>
    <row r="2" spans="2:7" ht="46.8" x14ac:dyDescent="0.3">
      <c r="B2" s="2" t="s">
        <v>0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</row>
    <row r="3" spans="2:7" ht="15.6" x14ac:dyDescent="0.3">
      <c r="B3" s="2" t="s">
        <v>36</v>
      </c>
      <c r="C3" s="2">
        <v>7449</v>
      </c>
      <c r="D3" s="2">
        <v>0.94130000000000003</v>
      </c>
      <c r="E3" s="2">
        <v>8857</v>
      </c>
      <c r="F3" s="3">
        <f>C3*D3</f>
        <v>7011.7437</v>
      </c>
      <c r="G3" s="3">
        <f>E3-F3</f>
        <v>1845.2563</v>
      </c>
    </row>
    <row r="4" spans="2:7" ht="15.6" x14ac:dyDescent="0.3">
      <c r="B4" s="14">
        <v>45421</v>
      </c>
      <c r="C4" s="2">
        <v>7183</v>
      </c>
      <c r="D4" s="2">
        <v>0.95050000000000001</v>
      </c>
      <c r="E4" s="2">
        <v>9065</v>
      </c>
      <c r="F4" s="3">
        <f t="shared" ref="F4:F19" si="0">C4*D4</f>
        <v>6827.4414999999999</v>
      </c>
      <c r="G4" s="3">
        <f t="shared" ref="G4:G19" si="1">E4-F4</f>
        <v>2237.5585000000001</v>
      </c>
    </row>
    <row r="5" spans="2:7" ht="15.6" x14ac:dyDescent="0.3">
      <c r="B5" s="14">
        <v>45579</v>
      </c>
      <c r="C5" s="2">
        <v>6226</v>
      </c>
      <c r="D5" s="2">
        <v>0.94889999999999997</v>
      </c>
      <c r="E5" s="2">
        <v>6902</v>
      </c>
      <c r="F5" s="3">
        <f t="shared" si="0"/>
        <v>5907.8513999999996</v>
      </c>
      <c r="G5" s="3">
        <f t="shared" si="1"/>
        <v>994.14860000000044</v>
      </c>
    </row>
    <row r="6" spans="2:7" ht="15.6" x14ac:dyDescent="0.3">
      <c r="B6" s="2" t="s">
        <v>39</v>
      </c>
      <c r="C6" s="2">
        <v>4129</v>
      </c>
      <c r="D6" s="2">
        <v>0.94359999999999999</v>
      </c>
      <c r="E6" s="2">
        <v>4546</v>
      </c>
      <c r="F6" s="3">
        <f t="shared" si="0"/>
        <v>3896.1244000000002</v>
      </c>
      <c r="G6" s="3">
        <f t="shared" si="1"/>
        <v>649.87559999999985</v>
      </c>
    </row>
    <row r="7" spans="2:7" ht="15.6" x14ac:dyDescent="0.3">
      <c r="B7" s="2" t="s">
        <v>40</v>
      </c>
      <c r="C7" s="2">
        <v>3244</v>
      </c>
      <c r="D7" s="2">
        <v>0.93989999999999996</v>
      </c>
      <c r="E7" s="2">
        <v>4093</v>
      </c>
      <c r="F7" s="3">
        <f t="shared" si="0"/>
        <v>3049.0355999999997</v>
      </c>
      <c r="G7" s="3">
        <f t="shared" si="1"/>
        <v>1043.9644000000003</v>
      </c>
    </row>
    <row r="8" spans="2:7" ht="15.6" x14ac:dyDescent="0.3">
      <c r="B8" s="2" t="s">
        <v>41</v>
      </c>
      <c r="C8" s="2">
        <v>3241</v>
      </c>
      <c r="D8" s="2">
        <v>0.93779999999999997</v>
      </c>
      <c r="E8" s="2">
        <v>4324</v>
      </c>
      <c r="F8" s="3">
        <f t="shared" si="0"/>
        <v>3039.4097999999999</v>
      </c>
      <c r="G8" s="3">
        <f t="shared" si="1"/>
        <v>1284.5902000000001</v>
      </c>
    </row>
    <row r="9" spans="2:7" ht="15.6" x14ac:dyDescent="0.3">
      <c r="B9" s="2" t="s">
        <v>42</v>
      </c>
      <c r="C9" s="2">
        <v>2492</v>
      </c>
      <c r="D9" s="2">
        <v>0.93389999999999995</v>
      </c>
      <c r="E9" s="2">
        <v>3367</v>
      </c>
      <c r="F9" s="3">
        <f t="shared" si="0"/>
        <v>2327.2788</v>
      </c>
      <c r="G9" s="3">
        <f t="shared" si="1"/>
        <v>1039.7212</v>
      </c>
    </row>
    <row r="10" spans="2:7" ht="15.6" x14ac:dyDescent="0.3">
      <c r="B10" s="2" t="s">
        <v>43</v>
      </c>
      <c r="C10" s="2">
        <v>2358</v>
      </c>
      <c r="D10" s="2">
        <v>0.92720000000000002</v>
      </c>
      <c r="E10" s="2">
        <v>3269</v>
      </c>
      <c r="F10" s="3">
        <f t="shared" si="0"/>
        <v>2186.3375999999998</v>
      </c>
      <c r="G10" s="3">
        <f t="shared" si="1"/>
        <v>1082.6624000000002</v>
      </c>
    </row>
    <row r="11" spans="2:7" ht="15.6" x14ac:dyDescent="0.3">
      <c r="B11" s="2" t="s">
        <v>44</v>
      </c>
      <c r="C11" s="2">
        <v>3694</v>
      </c>
      <c r="D11" s="2">
        <v>0.91669999999999996</v>
      </c>
      <c r="E11" s="2">
        <v>2455</v>
      </c>
      <c r="F11" s="3">
        <f t="shared" si="0"/>
        <v>3386.2898</v>
      </c>
      <c r="G11" s="3">
        <f t="shared" si="1"/>
        <v>-931.28980000000001</v>
      </c>
    </row>
    <row r="12" spans="2:7" ht="15.6" x14ac:dyDescent="0.3">
      <c r="B12" s="2" t="s">
        <v>45</v>
      </c>
      <c r="C12" s="2">
        <v>2862</v>
      </c>
      <c r="D12" s="2">
        <v>0.90049999999999997</v>
      </c>
      <c r="E12" s="2">
        <v>1938</v>
      </c>
      <c r="F12" s="3">
        <f t="shared" si="0"/>
        <v>2577.2309999999998</v>
      </c>
      <c r="G12" s="3">
        <f t="shared" si="1"/>
        <v>-639.23099999999977</v>
      </c>
    </row>
    <row r="13" spans="2:7" ht="15.6" x14ac:dyDescent="0.3">
      <c r="B13" s="2" t="s">
        <v>46</v>
      </c>
      <c r="C13" s="2">
        <v>2690</v>
      </c>
      <c r="D13" s="2">
        <v>0.87639999999999996</v>
      </c>
      <c r="E13" s="2">
        <v>1636</v>
      </c>
      <c r="F13" s="3">
        <f t="shared" si="0"/>
        <v>2357.5160000000001</v>
      </c>
      <c r="G13" s="3">
        <f t="shared" si="1"/>
        <v>-721.51600000000008</v>
      </c>
    </row>
    <row r="14" spans="2:7" ht="15.6" x14ac:dyDescent="0.3">
      <c r="B14" s="2" t="s">
        <v>47</v>
      </c>
      <c r="C14" s="2">
        <v>1621</v>
      </c>
      <c r="D14" s="2">
        <v>0.84040000000000004</v>
      </c>
      <c r="E14" s="2">
        <v>1089</v>
      </c>
      <c r="F14" s="3">
        <f t="shared" si="0"/>
        <v>1362.2884000000001</v>
      </c>
      <c r="G14" s="3">
        <f t="shared" si="1"/>
        <v>-273.28840000000014</v>
      </c>
    </row>
    <row r="15" spans="2:7" ht="15.6" x14ac:dyDescent="0.3">
      <c r="B15" s="2" t="s">
        <v>48</v>
      </c>
      <c r="C15" s="2">
        <v>1949</v>
      </c>
      <c r="D15" s="2">
        <v>0.78849999999999998</v>
      </c>
      <c r="E15" s="2">
        <v>1226</v>
      </c>
      <c r="F15" s="3">
        <f t="shared" si="0"/>
        <v>1536.7864999999999</v>
      </c>
      <c r="G15" s="3">
        <f t="shared" si="1"/>
        <v>-310.78649999999993</v>
      </c>
    </row>
    <row r="16" spans="2:7" ht="15.6" x14ac:dyDescent="0.3">
      <c r="B16" s="2" t="s">
        <v>49</v>
      </c>
      <c r="C16" s="2">
        <v>915</v>
      </c>
      <c r="D16" s="2">
        <v>0.71509999999999996</v>
      </c>
      <c r="E16" s="2">
        <v>632</v>
      </c>
      <c r="F16" s="3">
        <f t="shared" si="0"/>
        <v>654.31649999999991</v>
      </c>
      <c r="G16" s="3">
        <f t="shared" si="1"/>
        <v>-22.316499999999905</v>
      </c>
    </row>
    <row r="17" spans="2:7" ht="15.6" x14ac:dyDescent="0.3">
      <c r="B17" s="2" t="s">
        <v>50</v>
      </c>
      <c r="C17" s="2">
        <v>949</v>
      </c>
      <c r="D17" s="2">
        <v>0.60619999999999996</v>
      </c>
      <c r="E17" s="2">
        <v>669</v>
      </c>
      <c r="F17" s="3">
        <f t="shared" si="0"/>
        <v>575.28379999999993</v>
      </c>
      <c r="G17" s="3">
        <f t="shared" si="1"/>
        <v>93.716200000000072</v>
      </c>
    </row>
    <row r="18" spans="2:7" ht="15.6" x14ac:dyDescent="0.3">
      <c r="B18" s="2" t="s">
        <v>51</v>
      </c>
      <c r="C18" s="2">
        <v>399</v>
      </c>
      <c r="D18" s="2">
        <v>0.46879999999999999</v>
      </c>
      <c r="E18" s="2">
        <v>264</v>
      </c>
      <c r="F18" s="3">
        <f t="shared" si="0"/>
        <v>187.05119999999999</v>
      </c>
      <c r="G18" s="3">
        <f t="shared" si="1"/>
        <v>76.948800000000006</v>
      </c>
    </row>
    <row r="19" spans="2:7" ht="15.6" x14ac:dyDescent="0.3">
      <c r="B19" s="2" t="s">
        <v>52</v>
      </c>
      <c r="C19" s="2">
        <v>1002</v>
      </c>
      <c r="D19" s="2">
        <v>0.26329999999999998</v>
      </c>
      <c r="E19" s="2">
        <v>416</v>
      </c>
      <c r="F19" s="3">
        <f t="shared" si="0"/>
        <v>263.82659999999998</v>
      </c>
      <c r="G19" s="3">
        <f t="shared" si="1"/>
        <v>152.17340000000002</v>
      </c>
    </row>
    <row r="20" spans="2:7" ht="15.6" x14ac:dyDescent="0.3">
      <c r="B20" s="2" t="s">
        <v>9</v>
      </c>
      <c r="C20" s="3">
        <f>SUM(C3:C19)</f>
        <v>52403</v>
      </c>
      <c r="D20" s="3"/>
      <c r="E20" s="3">
        <f t="shared" ref="E20:G20" si="2">SUM(E3:E19)</f>
        <v>54748</v>
      </c>
      <c r="F20" s="3">
        <f t="shared" si="2"/>
        <v>47145.812600000005</v>
      </c>
      <c r="G20" s="3">
        <f t="shared" si="2"/>
        <v>7602.1873999999998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2AB4-2398-4AD2-A2EE-7FA32B1AB3F3}">
  <dimension ref="B4:O13"/>
  <sheetViews>
    <sheetView workbookViewId="0">
      <selection activeCell="C12" sqref="C12"/>
    </sheetView>
  </sheetViews>
  <sheetFormatPr defaultRowHeight="14.4" x14ac:dyDescent="0.3"/>
  <cols>
    <col min="2" max="2" width="14.44140625" customWidth="1"/>
    <col min="3" max="3" width="11.77734375" customWidth="1"/>
    <col min="4" max="4" width="10.88671875" customWidth="1"/>
    <col min="5" max="5" width="11.6640625" customWidth="1"/>
    <col min="6" max="6" width="12.21875" customWidth="1"/>
    <col min="7" max="7" width="11.44140625" customWidth="1"/>
    <col min="8" max="8" width="16.77734375" customWidth="1"/>
    <col min="10" max="10" width="16.6640625" customWidth="1"/>
  </cols>
  <sheetData>
    <row r="4" spans="2:15" x14ac:dyDescent="0.3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2:15" ht="15.6" x14ac:dyDescent="0.3">
      <c r="B5" s="23" t="s">
        <v>128</v>
      </c>
      <c r="C5" s="32" t="s">
        <v>129</v>
      </c>
      <c r="D5" s="33"/>
      <c r="E5" s="33"/>
      <c r="F5" s="33"/>
      <c r="G5" s="33" t="s">
        <v>9</v>
      </c>
      <c r="H5" s="3"/>
      <c r="I5" s="3"/>
      <c r="J5" s="3"/>
      <c r="K5" s="3"/>
      <c r="L5" s="3"/>
      <c r="M5" s="3"/>
      <c r="N5" s="3"/>
      <c r="O5" s="8"/>
    </row>
    <row r="6" spans="2:15" ht="15.6" x14ac:dyDescent="0.3">
      <c r="B6" s="23" t="s">
        <v>130</v>
      </c>
      <c r="C6" s="24" t="s">
        <v>131</v>
      </c>
      <c r="D6" s="25" t="s">
        <v>132</v>
      </c>
      <c r="E6" s="25" t="s">
        <v>133</v>
      </c>
      <c r="F6" s="25" t="s">
        <v>134</v>
      </c>
      <c r="G6" s="33"/>
      <c r="H6" s="25" t="s">
        <v>135</v>
      </c>
      <c r="I6" s="25" t="s">
        <v>136</v>
      </c>
      <c r="J6" s="23" t="s">
        <v>137</v>
      </c>
      <c r="K6" s="25" t="s">
        <v>138</v>
      </c>
      <c r="L6" s="25" t="s">
        <v>139</v>
      </c>
      <c r="M6" s="25" t="s">
        <v>140</v>
      </c>
      <c r="N6" s="25" t="s">
        <v>141</v>
      </c>
      <c r="O6" s="8"/>
    </row>
    <row r="7" spans="2:15" ht="15.6" x14ac:dyDescent="0.3">
      <c r="B7" s="23" t="s">
        <v>131</v>
      </c>
      <c r="C7" s="26">
        <v>18363975</v>
      </c>
      <c r="D7" s="26">
        <v>134513</v>
      </c>
      <c r="E7" s="26">
        <v>21809</v>
      </c>
      <c r="F7" s="26">
        <v>11666</v>
      </c>
      <c r="G7" s="26">
        <f>SUM(C7:F7)</f>
        <v>18531963</v>
      </c>
      <c r="H7" s="3">
        <f>G7-C7</f>
        <v>167988</v>
      </c>
      <c r="I7" s="3">
        <f>(H7/G7)*1000</f>
        <v>9.0647709581548384</v>
      </c>
      <c r="J7" s="3">
        <v>432585</v>
      </c>
      <c r="K7" s="3">
        <f>(J7/G7)*1000</f>
        <v>23.34264319435561</v>
      </c>
      <c r="L7" s="3">
        <f>I7-K7</f>
        <v>-14.277872236200771</v>
      </c>
      <c r="M7" s="3">
        <f>I7+K7</f>
        <v>32.407414152510448</v>
      </c>
      <c r="N7" s="3">
        <f>ABS(L7/M7)*100</f>
        <v>44.057425158973174</v>
      </c>
      <c r="O7" s="8"/>
    </row>
    <row r="8" spans="2:15" ht="15.6" x14ac:dyDescent="0.3">
      <c r="B8" s="23" t="s">
        <v>132</v>
      </c>
      <c r="C8" s="26">
        <v>311324</v>
      </c>
      <c r="D8" s="26">
        <v>20719900</v>
      </c>
      <c r="E8" s="26">
        <v>112689</v>
      </c>
      <c r="F8" s="26">
        <v>65915</v>
      </c>
      <c r="G8" s="26">
        <f t="shared" ref="G8:G10" si="0">SUM(C8:F8)</f>
        <v>21209828</v>
      </c>
      <c r="H8" s="3">
        <f>G8-D8</f>
        <v>489928</v>
      </c>
      <c r="I8" s="3">
        <f>(H8/G8)*1000</f>
        <v>23.099102925304251</v>
      </c>
      <c r="J8" s="3">
        <v>329486</v>
      </c>
      <c r="K8" s="3">
        <f>(J8/G8)*1000</f>
        <v>15.534590850996057</v>
      </c>
      <c r="L8" s="3">
        <f t="shared" ref="L8:L10" si="1">I8-K8</f>
        <v>7.5645120743081939</v>
      </c>
      <c r="M8" s="3">
        <f t="shared" ref="M8:M10" si="2">I8+K8</f>
        <v>38.633693776300305</v>
      </c>
      <c r="N8" s="3">
        <f t="shared" ref="N8:N10" si="3">ABS(L8/M8)*100</f>
        <v>19.580090161993819</v>
      </c>
      <c r="O8" s="8"/>
    </row>
    <row r="9" spans="2:15" ht="15.6" x14ac:dyDescent="0.3">
      <c r="B9" s="23" t="s">
        <v>142</v>
      </c>
      <c r="C9" s="26">
        <v>75784</v>
      </c>
      <c r="D9" s="26">
        <v>15622</v>
      </c>
      <c r="E9" s="26">
        <v>13719526</v>
      </c>
      <c r="F9" s="26">
        <v>32701</v>
      </c>
      <c r="G9" s="26">
        <f t="shared" si="0"/>
        <v>13843633</v>
      </c>
      <c r="H9" s="3">
        <f>G9-E9</f>
        <v>124107</v>
      </c>
      <c r="I9" s="3">
        <f>(H9/G9)*1000</f>
        <v>8.9649154958095174</v>
      </c>
      <c r="J9" s="3">
        <v>160648</v>
      </c>
      <c r="K9" s="3">
        <f>(J9/G9)*1000</f>
        <v>11.604468277944092</v>
      </c>
      <c r="L9" s="3">
        <f t="shared" si="1"/>
        <v>-2.6395527821345741</v>
      </c>
      <c r="M9" s="3">
        <f t="shared" si="2"/>
        <v>20.569383773753607</v>
      </c>
      <c r="N9" s="3">
        <f t="shared" si="3"/>
        <v>12.832434900177347</v>
      </c>
      <c r="O9" s="8"/>
    </row>
    <row r="10" spans="2:15" ht="15.6" x14ac:dyDescent="0.3">
      <c r="B10" s="23" t="s">
        <v>134</v>
      </c>
      <c r="C10" s="26">
        <v>45477</v>
      </c>
      <c r="D10" s="26">
        <v>179351</v>
      </c>
      <c r="E10" s="26">
        <v>26150</v>
      </c>
      <c r="F10" s="26">
        <v>16761125</v>
      </c>
      <c r="G10" s="26">
        <f t="shared" si="0"/>
        <v>17012103</v>
      </c>
      <c r="H10" s="3">
        <f>G10-F10</f>
        <v>250978</v>
      </c>
      <c r="I10" s="3">
        <f>(H10/G10)*1000</f>
        <v>14.752908561628153</v>
      </c>
      <c r="J10" s="3">
        <v>110282</v>
      </c>
      <c r="K10" s="3">
        <f>(J10/G10)*1000</f>
        <v>6.4825612682923444</v>
      </c>
      <c r="L10" s="3">
        <f t="shared" si="1"/>
        <v>8.27034729333581</v>
      </c>
      <c r="M10" s="3">
        <f t="shared" si="2"/>
        <v>21.235469829920497</v>
      </c>
      <c r="N10" s="3">
        <f t="shared" si="3"/>
        <v>38.945911531860716</v>
      </c>
      <c r="O10" s="8"/>
    </row>
    <row r="11" spans="2:15" ht="15.6" x14ac:dyDescent="0.3">
      <c r="B11" s="23" t="s">
        <v>9</v>
      </c>
      <c r="C11" s="26">
        <f>SUM(C7:C10)</f>
        <v>18796560</v>
      </c>
      <c r="D11" s="26">
        <f t="shared" ref="D11:F11" si="4">SUM(D7:D10)</f>
        <v>21049386</v>
      </c>
      <c r="E11" s="26">
        <f t="shared" si="4"/>
        <v>13880174</v>
      </c>
      <c r="F11" s="26">
        <f t="shared" si="4"/>
        <v>16871407</v>
      </c>
      <c r="G11" s="26">
        <f>SUM(C11:F11)</f>
        <v>70597527</v>
      </c>
      <c r="H11" s="26">
        <f>SUM(H7:H10)</f>
        <v>1033001</v>
      </c>
      <c r="I11" s="26"/>
      <c r="J11" s="26">
        <v>1033001</v>
      </c>
      <c r="K11" s="3"/>
      <c r="L11" s="3"/>
      <c r="M11" s="3"/>
      <c r="N11" s="3"/>
      <c r="O11" s="8"/>
    </row>
    <row r="12" spans="2:15" ht="15.6" x14ac:dyDescent="0.3">
      <c r="B12" s="23" t="s">
        <v>137</v>
      </c>
      <c r="C12" s="3">
        <f>C11-C7</f>
        <v>432585</v>
      </c>
      <c r="D12" s="3">
        <f>D11-D8</f>
        <v>329486</v>
      </c>
      <c r="E12" s="3">
        <f>E11-E9</f>
        <v>160648</v>
      </c>
      <c r="F12" s="3">
        <f>F11-F10</f>
        <v>110282</v>
      </c>
      <c r="G12" s="26">
        <f>SUM(C12:F12)</f>
        <v>1033001</v>
      </c>
      <c r="H12" s="3"/>
      <c r="I12" s="3"/>
      <c r="J12" s="3"/>
      <c r="K12" s="3"/>
      <c r="L12" s="3"/>
      <c r="M12" s="3"/>
      <c r="N12" s="3"/>
      <c r="O12" s="8"/>
    </row>
    <row r="13" spans="2:15" ht="15.6" x14ac:dyDescent="0.3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</sheetData>
  <mergeCells count="2">
    <mergeCell ref="C5:F5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problem-02</vt:lpstr>
      <vt:lpstr>problem-03</vt:lpstr>
      <vt:lpstr>probem-04</vt:lpstr>
      <vt:lpstr>probem-05</vt:lpstr>
      <vt:lpstr>probem-06</vt:lpstr>
      <vt:lpstr>probem-07</vt:lpstr>
      <vt:lpstr>probem-08</vt:lpstr>
      <vt:lpstr>probem-09</vt:lpstr>
      <vt:lpstr>probem-10</vt:lpstr>
      <vt:lpstr>probem-11</vt:lpstr>
      <vt:lpstr>probem-12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ASUS</cp:lastModifiedBy>
  <dcterms:created xsi:type="dcterms:W3CDTF">2024-10-16T17:18:13Z</dcterms:created>
  <dcterms:modified xsi:type="dcterms:W3CDTF">2026-09-14T00:44:43Z</dcterms:modified>
</cp:coreProperties>
</file>